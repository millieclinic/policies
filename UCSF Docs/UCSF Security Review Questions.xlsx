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enisi" sheetId="1" r:id="rId5"/>
    <sheet state="hidden" name="AI - Summary" sheetId="2" r:id="rId6"/>
    <sheet state="visible" name="AI - Categorized Questions" sheetId="3" r:id="rId7"/>
    <sheet state="visible" name="AI - Document Backlog" sheetId="4" r:id="rId8"/>
    <sheet state="visible" name="AI - Source Index" sheetId="5" r:id="rId9"/>
  </sheets>
  <definedNames>
    <definedName hidden="1" localSheetId="2" name="_xlnm._FilterDatabase">'AI - Categorized Questions'!$A$1:$J$40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tc={10e2e8f2-131c-4371-b243-12f2d4b4ec64}</author>
    <author>tc={46d6082a-b807-4505-b36d-b9b54b72e6b8}</author>
    <author>tc={5b9704c2-ed8c-4282-a44c-81c3aa629a0b}</author>
    <author>tc={5d909c56-183c-4663-b921-eff526cd9ad0}</author>
    <author>tc={a7211276-5ce6-48b4-8a86-5d2062eeb612}</author>
    <author>tc={b8ef49d6-f531-4aa9-90f0-196569991909}</author>
    <author>tc={be01033c-eedd-4f80-bfd8-72912d0ac0a0}</author>
    <author>tc={dbe0b61f-26e9-4578-a080-6ae4498792c6}</author>
    <author>tc={e80d1d0e-ef6d-406b-8276-e1fa825d0598}</author>
  </authors>
  <commentList>
    <comment authorId="0" xr:uid="{10e2e8f2-131c-4371-b243-12f2d4b4ec64}" ref="B18">
      <text>
        <t xml:space="preserve">[Threaded comment]
 Your version of Excel allows you to read this threaded comment; however, any edits to it will get removed if the file is opened in a newer version of Excel. Learn more: https://go.microsoft.com/fwlink/?linkid=870924
Comment:
	@chase.s@millieclinic.com Patricia has tracked this but we will be moving everything to easy llama going forward.
Reply:
	@patricia@millieclinic.com where are we tracking previously?
Reply:
	Let's discuss in our meeting today
</t>
      </text>
    </comment>
    <comment authorId="1" xr:uid="{46d6082a-b807-4505-b36d-b9b54b72e6b8}" ref="C38">
      <text>
        <t xml:space="preserve">[Threaded comment]
 Your version of Excel allows you to read this threaded comment; however, any edits to it will get removed if the file is opened in a newer version of Excel. Learn more: https://go.microsoft.com/fwlink/?linkid=870924
Comment:
	@anu@millieclinic.com @patricia@millieclinic.com We may need some documentation from our landlords of any security management of the building and @patricia@millieclinic.com do we limit who has access to the actual office? We probably need to document process.
Reply:
	Ping on this
Reply:
	No just physical keys
Reply:
	Access to the building is prohibited after 6pm unless key fob given by building management. This is true for weekdays after 6pm and Saturdays after 2pm and all day Sundays
Cameras throughout building and in elevators. Key access to clinic door and a separate key to access locked cabinets
Reply:
	https://docs.google.com/document/d/1OuYGIhZv4E9VQUFsqV4QlUUVdNnKsgKYCCM0JRBju3g/edit?usp=sharing
</t>
      </text>
    </comment>
    <comment authorId="2" xr:uid="{5b9704c2-ed8c-4282-a44c-81c3aa629a0b}" ref="C36">
      <text>
        <t xml:space="preserve">[Threaded comment]
 Your version of Excel allows you to read this threaded comment; however, any edits to it will get removed if the file is opened in a newer version of Excel. Learn more: https://go.microsoft.com/fwlink/?linkid=870924
Comment:
	@patricia@millieclinic.com the policies are in column I. Can you make sure these policies as written are what is happening in the clinics with respects to document handling, logins for workstations, etc?
Assigned to patricia@millieclinic.com
Reply:
	Ping on this
Reply:
	https://docs.google.com/document/d/1OuYGIhZv4E9VQUFsqV4QlUUVdNnKsgKYCCM0JRBju3g/edit?usp=sharing
Reply:
	We have cabinets that can lock and drawers that lock
Reply:
	Thanks. I think we are just confirming that what is written up is actually happening in practice.
Reply:
	It could use some buttoning up for sure
</t>
      </text>
    </comment>
    <comment authorId="3" xr:uid="{5d909c56-183c-4663-b921-eff526cd9ad0}" ref="C34">
      <text>
        <t xml:space="preserve">[Threaded comment]
 Your version of Excel allows you to read this threaded comment; however, any edits to it will get removed if the file is opened in a newer version of Excel. Learn more: https://go.microsoft.com/fwlink/?linkid=870924
Comment:
	@terese.t@millieclinic.com I'm considering asking them for more info on what they want here?
</t>
      </text>
    </comment>
    <comment authorId="4" xr:uid="{a7211276-5ce6-48b4-8a86-5d2062eeb612}" ref="C15">
      <text>
        <t xml:space="preserve">[Threaded comment]
 Your version of Excel allows you to read this threaded comment; however, any edits to it will get removed if the file is opened in a newer version of Excel. Learn more: https://go.microsoft.com/fwlink/?linkid=870924
Comment:
	@zoe.h@millieclinic.com I'm less familiar on this, do we have any data loss prevention controls in place?
Reply:
	I don't think so... When we did the internal security audit in Q4, we did review some of the AWS settings and improve security there, but we don't have anything ongoing to my knowledge
Reply:
	@chase.s@millieclinic.com anything on your radar here?
Reply:
	We should look up Databricks and AWS alerts for this and if they run automatically or if we can turn anything on.
Examples would be alerts on new logins for databricks, hex, and AWS, or something, and check into anything else they have avail
Reply:
	added a note about fivetran/dbx/hex in the answer box, @zoe.h@millieclinic.com if there's anything similar to add for aws could you? i'm not as familiar there
Reply:
	I added Aptible and AWS
1 total reaction
Elysia Su reacted with 🙏 at 2026-05-05 23:36 PM
</t>
      </text>
    </comment>
    <comment authorId="5" xr:uid="{b8ef49d6-f531-4aa9-90f0-196569991909}" ref="C19">
      <text>
        <t xml:space="preserve">[Threaded comment]
 Your version of Excel allows you to read this threaded comment; however, any edits to it will get removed if the file is opened in a newer version of Excel. Learn more: https://go.microsoft.com/fwlink/?linkid=870924
Comment:
	@kristin.c@millieclinic.com do we have anything formal for removal of access?
Reply:
	The formal process is that I submit a ticket to Tenisi once I have been given an end date, so, yes?
</t>
      </text>
    </comment>
    <comment authorId="6" xr:uid="{be01033c-eedd-4f80-bfd8-72912d0ac0a0}" ref="C16">
      <text>
        <t xml:space="preserve">[Threaded comment]
 Your version of Excel allows you to read this threaded comment; however, any edits to it will get removed if the file is opened in a newer version of Excel. Learn more: https://go.microsoft.com/fwlink/?linkid=870924
Comment:
	could we use the swim lanes doc https://drive.google.com/file/d/1-eZcRvt_tdFQzwvhdBu2yptWLNJ2zuFh/view?usp=sharing do we need more explicit data flow mapping
Reply:
	We'll try that
</t>
      </text>
    </comment>
    <comment authorId="7" xr:uid="{dbe0b61f-26e9-4578-a080-6ae4498792c6}" ref="F17">
      <text>
        <t xml:space="preserve">[Threaded comment]
 Your version of Excel allows you to read this threaded comment; however, any edits to it will get removed if the file is opened in a newer version of Excel. Learn more: https://go.microsoft.com/fwlink/?linkid=870924
Comment:
	@chase.s@millieclinic.com when they say "exit interviews to cover post-employment HIPAA obligations," are they referring to reminding employees that their confidentiality obligations do not end at termination?
Reply:
	We can assume that
Reply:
	action item for me is to create a process in off-boarding to remind clinicians of their obligations post employment
</t>
      </text>
    </comment>
    <comment authorId="8" xr:uid="{e80d1d0e-ef6d-406b-8276-e1fa825d0598}" ref="D4">
      <text>
        <t xml:space="preserve">[Threaded comment]
 Your version of Excel allows you to read this threaded comment; however, any edits to it will get removed if the file is opened in a newer version of Excel. Learn more: https://go.microsoft.com/fwlink/?linkid=870924
Comment:
	@terese.t@millieclinic.com I added a column to the Millie Matrix
</t>
      </text>
    </comment>
  </commentList>
</comments>
</file>

<file path=xl/sharedStrings.xml><?xml version="1.0" encoding="utf-8"?>
<sst xmlns="http://schemas.openxmlformats.org/spreadsheetml/2006/main" count="486" uniqueCount="278">
  <si>
    <t>Question</t>
  </si>
  <si>
    <t>Answer</t>
  </si>
  <si>
    <t>Notes</t>
  </si>
  <si>
    <t>URL</t>
  </si>
  <si>
    <t>Point Person</t>
  </si>
  <si>
    <t>Need to Figure out PP</t>
  </si>
  <si>
    <t>Effort</t>
  </si>
  <si>
    <t>Are information security roles and responsibilities for the entire workforce established? Are all workforce members aware of and understand their role in information security? (This would include actions individuals would take, from each department, to keep sensitive information secure, such as logging off a computer when leaving a room, or keeping patient records secu(If so, please attach)</t>
  </si>
  <si>
    <t>Yes, need to work on updating this doc</t>
  </si>
  <si>
    <t>https://docs.google.com/document/d/1vqLerLh1hxa96CoeyhV7TOpb3VDDq0SwVG2nsGo10J8/edit?tab=t.0</t>
  </si>
  <si>
    <t>Chase</t>
  </si>
  <si>
    <t>Are information security roles and responsibilities for third-party stakeholders established? (Does the organization understand how and where it is sharing sensitive data with third parties such as billing/coding, outsourced resources, and vendors? If so, do these third parties understand their role in keeping sensitive data secure throughout the information sharing processes?)</t>
  </si>
  <si>
    <t>Kristin/Anu/Terese?</t>
  </si>
  <si>
    <t>Are platforms (e.g., hardware, devices, applications, and software prioritized based on the information they process, as well as operational criticality, and business value? (If all systems failed could someone easily identify which systems to restart and/or recover first based on their importance or criticality to the organizations operations?</t>
  </si>
  <si>
    <t>Priority for software would be backend, mobile app, front end.
Hardware/devices are not owned by tech team and should be answered by Tenisi</t>
  </si>
  <si>
    <t>Zoe</t>
  </si>
  <si>
    <t>10) Has your organization implemented a security policy? (If so, please attach)</t>
  </si>
  <si>
    <t>11) Are information security roles &amp; responsibilities documented in writing and communicated throughout the organization? (Has the organization identified a resource responsible for information security who's role and responsibilities have been defined and documented within their job description, and communicated across the organization?)</t>
  </si>
  <si>
    <t>12) Are legal and regulatory requirements regarding securing information, including privacy and civil liberties obligations understood and managed? (This includes such items as, displaying HIPAA privacy rights, and requirements around use and disclosure of patient information.)</t>
  </si>
  <si>
    <t>Terese ?</t>
  </si>
  <si>
    <t>Are you identifying risks to your IT Infrastructure by conducting vulnerability scans and conducting an Enterprise Risk Assessment of your information processes? If so, please explain how are you managing those risks)</t>
  </si>
  <si>
    <t>Tenisi</t>
  </si>
  <si>
    <t>What was the date of your last Risk Assessment?</t>
  </si>
  <si>
    <t>Are threats, both internal and external identified and documented in the risk assessment? (Threats are anything that could interrupt, damage, or destroy system and data assets. Examples of these threats may include categories covering Human - Intentional, Human - Unintentional, Environment - Natural, Environment - Man Made.)</t>
  </si>
  <si>
    <t>Who is responsible for performing the risk analysis?</t>
  </si>
  <si>
    <t>Is there a policy or procedures defining organizational risk tolerance and risk acceptance authority? (This policy would identify who in the organization has the authority to accept risks that have been identified through a security risk assessment, vulnerability scans, or other means. Accepting risk includes identified risks that cannot or will not be remediated and any residual risks remaining after remediation or mitigating controls are in place.)</t>
  </si>
  <si>
    <t>Is there a facility security plan that manages and protects all assets? (Is there a plan for protecting the building and restrictive areas across the facility to ensure physical access is not granted or allowed to unnecessary individuals?)</t>
  </si>
  <si>
    <t>How do you control remote access to your network? (Please Explain)</t>
  </si>
  <si>
    <t>Are access permissions managed, incorporating the principles of least privilege and separation of duties? (Are individuals allowed access to only the information they need in order to perform their daily job functions based on their role?)</t>
  </si>
  <si>
    <t>Yes. Our internal admin dashboard enforces RBAC depending on role. Our technical systems (AWS, Aptible, Github) all have RBAC as well and are limited to the technical team.</t>
  </si>
  <si>
    <t>Do you segment your network into protected/isolated networks? (For example, general use computers would be separated on a different network from systems, applications, or databases storing patient data.)</t>
  </si>
  <si>
    <t>Do you track and measure user training completion as part of your formalized security and privacy training program? (An example would be that a sign in roster is kept for any training provided around HIPAA, and a test to measure individual understanding of the training is conducted.)</t>
  </si>
  <si>
    <t>Do you have a formal vendor management program that requires a minimum level of HIPAA compliance based on risk? (When working with third party vendors, are you asking them questions around their security practices and how they will be protecting your organizational data as it applies to the vendor relationship?)</t>
  </si>
  <si>
    <t>What technical controls are being used to protect data stored on electronic storage media (For example, a database of the organizations financial information or patient records might be encrypted and sit behind a firewall, or all computer hard drives and thumb drives are encrypted.)</t>
  </si>
  <si>
    <t>What physical security controls are in place to protect data? (For example, a filing cabinet, for instance, might be kept in locked room.)</t>
  </si>
  <si>
    <t>How is data protected when it is in transit to external organizations? (For example, is the data sent vie encrypted email or over a Virtual Private Network (VPN)?)</t>
  </si>
  <si>
    <t>Are assets formally managed throughout the life cycle? (e.g. acquisition, movement, transfers, and dispo(Is there a formally managed process that is documented and understood by all required parties? This includes such items as the process for building new assets to meet organizational standards as well as how the transfer and disposal process is implemented?)</t>
  </si>
  <si>
    <t>How are you monitoring your networks for data leaks? (Please Explain)</t>
  </si>
  <si>
    <t>Is a baseline configuration of information technology/industrial control systems created and maintained? (Is there a configuration standard that defines specific settings for the system that must be followed when adding new systems to the network?)</t>
  </si>
  <si>
    <t>Is a System Development Life Cycle (SDLC) implemented for all asset and hardware configurations? (An example of an SDLC would include documented steps for each phase of the asset or hardware lifecycle: Planning, System Requirements, Design, Integration and Testing, Implementation, and Operations/Maintenance.)</t>
  </si>
  <si>
    <t>Are configuration change control processes in place? (If there is a required change in a system, application, or standard configuration, is there a formal process that tracks and documents the request and approval of that change?)</t>
  </si>
  <si>
    <t>Are backups of information and server/laptop configurations created, maintained, and tested periodically?</t>
  </si>
  <si>
    <t>Is there a disposal policy that addresses both data and hardware? (For example, a policy identifying how long the organization is required to keep certain data types such as ePHI, as well as how the organization will dispose of the information and the desktop, servers, applications, or databases that information is stored on?)</t>
  </si>
  <si>
    <t>Are Business Continuity plans and Disaster Recovery plans in place and managed? (Does the business have what it needs to maintain sufficient operations, for a time period defined by the organization, while it recovers from a disaster either manmade or environmental? Are those plans documented?)</t>
  </si>
  <si>
    <t xml:space="preserve"> Do you conduct background checks on all members of the workforce, and exit interviews to cover HIPAA obligations after employment?</t>
  </si>
  <si>
    <t>Kristin / Anu</t>
  </si>
  <si>
    <t>Is there a formal process for provisioning and removal of all user accounts, and physical access? (Is there a documented process for granting access or establishing accounts for individuals? Does the process include limiting them to what is necessary for their role? Is there a documented process for removing that access when an individual leaves the organization?)</t>
  </si>
  <si>
    <t>Do you restrict the use of removable media e.g. USB drives, and limit access to only authorized users?</t>
  </si>
  <si>
    <t>Have you mapped all internal and external data flows? (Do you know where your sensitive data lives and how it is shared across your organization as well as externally with your partners?)</t>
  </si>
  <si>
    <t>Are security/privacy incidents reviewed for impact? (Do you have a process to review security or privacy incidents such as those reported by employees, suspicious activity, or other events which may lead to an incident, breach, or inadvertent exposure of patient information? Is this process documented?)</t>
  </si>
  <si>
    <t>Do you have an incident management policy that defines criticality and decision response authority? (Is there a process that identifies who can classify a potential event as an incident or breach? Is it documented?)(If so, please attach)</t>
  </si>
  <si>
    <t>Is the network monitored to detect potential cybersecurity events? (An example would be utilizing an Intrusion Detection/Prevention System (IDS, to block outside threats from accessing your network or monitoring a firewall and establishing alerts to notify the appropriate staff of suspicious activity.)</t>
  </si>
  <si>
    <t>Is the physical environment monitored to detect potential security events? For example cameras, security guard, badge readers for restricted access areas.</t>
  </si>
  <si>
    <t>Do you have a security/privacy incident response policy that identifies key personnel and processes for evaluating if a Breach has occurred, and requires a root cause analysis?</t>
  </si>
  <si>
    <t>Do you test your down time procedures and your disaster recovery plans?</t>
  </si>
  <si>
    <t>Do you incorporate lessons learned into the disaster recovery planning process?</t>
  </si>
  <si>
    <t>UCSF Security Review - Questionnaire Breakdown</t>
  </si>
  <si>
    <t>Metric</t>
  </si>
  <si>
    <t>Value</t>
  </si>
  <si>
    <t>Total nonblank questions</t>
  </si>
  <si>
    <t>Affirmative / answer now</t>
  </si>
  <si>
    <t>Assume no / need artifact</t>
  </si>
  <si>
    <t>Generated</t>
  </si>
  <si>
    <t>2026-05-01 17:40</t>
  </si>
  <si>
    <t>Bucket</t>
  </si>
  <si>
    <t>Question Rows</t>
  </si>
  <si>
    <t>Affirmative</t>
  </si>
  <si>
    <t>1, 2, 4, 5, 6, 10, 12, 13, 14, 18, 19, 20, 21, 26, 27, 28, 31, 33, 34, 37, 38, 39</t>
  </si>
  <si>
    <t>Assume No / Need artifact</t>
  </si>
  <si>
    <t>3, 7, 8, 9, 11, 15, 16, 17, 22, 23, 24, 25, 29, 30, 32, 35, 36</t>
  </si>
  <si>
    <t>Interpretation note</t>
  </si>
  <si>
    <t>The uploaded sources are sufficient to answer yes, sometimes with a caveat noted in the working sheet.</t>
  </si>
  <si>
    <t>No direct source evidence was found. These should be treated as no until an owner supplies evidence or we craft a document.</t>
  </si>
  <si>
    <t>Blank rows</t>
  </si>
  <si>
    <t>The CSV has 39 populated question rows followed by blank rows; only populated rows were analyzed.</t>
  </si>
  <si>
    <t>Row</t>
  </si>
  <si>
    <t>Status</t>
  </si>
  <si>
    <t>Needs Clarification</t>
  </si>
  <si>
    <t>Draft Answer / Current Position</t>
  </si>
  <si>
    <t>Notes / Clarification Questions</t>
  </si>
  <si>
    <t>Supporting Sources</t>
  </si>
  <si>
    <t>Gap / Assumption</t>
  </si>
  <si>
    <t>Document or Evidence to Craft</t>
  </si>
  <si>
    <t>Chase, Terese</t>
  </si>
  <si>
    <t>Complete</t>
  </si>
  <si>
    <t>Yes. Millie has documented workforce privacy and security responsibilities through its required Privacy &amp; Security/HIPAA training and supporting HIPAA policies. The training instructs workforce members on minimum necessary access, breach reporting, device/password security, encryption, screen locking, secure document handling, and acknowledgment of responsibilities.</t>
  </si>
  <si>
    <r>
      <rPr>
        <rFont val="Arial"/>
        <sz val="10.0"/>
      </rPr>
      <t xml:space="preserve">Needs confirmation from Terese Tatum et al that </t>
    </r>
    <r>
      <rPr>
        <rFont val="Arial"/>
        <color rgb="FF1155CC"/>
        <sz val="10.0"/>
        <u/>
      </rPr>
      <t>Safeguards Doc</t>
    </r>
    <r>
      <rPr>
        <rFont val="Arial"/>
        <sz val="10.0"/>
      </rPr>
      <t xml:space="preserve"> is OK for submitting to UCSF</t>
    </r>
  </si>
  <si>
    <t>Privacy &amp; Security Training - March 2025.docx; 03r HIPAA - Safeguards Policy.docx; 03w HIPAA - Workstation Use Policy.docx; 03o HIPAA - Password Management Policy.docx / Password Management Policy.pdf</t>
  </si>
  <si>
    <t>Refresh / finalize workforce security roles &amp; responsibilities document and attach training acknowledgement process.</t>
  </si>
  <si>
    <t>Yes, for HIPAA-relevant third parties. Millie's Business Associate Agreement policy requires a BAA before any vendor creates, receives, maintains, or transmits PHI, and the platform/access matrix identifies many third-party systems, access setup owners, license/access model, and admins.</t>
  </si>
  <si>
    <t>03c HIPAA - Business Associate Agreement Policy.docx; 03l HIPAA - Millie_BAA (for BA Use with Subcontractor).doc; Copy of Millie Matrix of Platforms and Access.xlsx - New Matrix of Apps.csv</t>
  </si>
  <si>
    <t>Sources support BAA requirements and platform inventory, but not a complete risk-tiered vendor register.</t>
  </si>
  <si>
    <t>Optional: Vendor inventory and third-party data sharing register.</t>
  </si>
  <si>
    <t>No evidence in uploaded sources that platforms/hardware are formally prioritized by information sensitivity, operational criticality, and business value. The app matrix is an inventory, and the contingency policy calls for IT inventory, but neither provides a prioritized recovery order.</t>
  </si>
  <si>
    <t>Copy of Millie Matrix of Platforms and Access.xlsx - New Matrix of Apps.csv; 03d HIPAA - Contingency Planning Policy.docx</t>
  </si>
  <si>
    <t>User notes proposed software priority: backend, mobile app, admin/frontend; hardware/device ownership likely Tenisi.</t>
  </si>
  <si>
    <t>Critical Systems &amp; Recovery Priority Matrix.</t>
  </si>
  <si>
    <t>Yes. Millie has implemented a suite of HIPAA privacy and security policies, including safeguards, password management, remote access, encryption, risk management, security incident management, breach notification, contingency planning, workstation use, and paper document management.</t>
  </si>
  <si>
    <t>03r HIPAA - Safeguards Policy.docx; 03o HIPAA - Password Management Policy.docx / Password Management Policy.pdf; 03p HIPAA - Remote Access Policy.docx; 03g HIPAA - Encryption Policy.docx; 03q HIPAA - Risk Management Policy.docx; 03s HIPAA - Security Incident Management Policy.docx; 03b HIPAA - Breach Notification Policy.docx; 03d HIPAA - Contingency Planning Policy.docx; 03w HIPAA - Workstation Use Policy.docx; 03n HIPAA - Paper Document Management Policy.docx</t>
  </si>
  <si>
    <t>Yes. Information security and privacy responsibilities are communicated through required workforce training, which identifies the Chief Privacy Officer and Security Officer contacts and describes workforce responsibilities. HIPAA policies assign responsibilities to the Chief Security Officer, Chief Privacy Officer, Risk Committee, and workforce members.</t>
  </si>
  <si>
    <r>
      <rPr>
        <rFont val="Arial"/>
        <sz val="10.0"/>
      </rPr>
      <t xml:space="preserve">Needs confirmation from Terese Tatum et al that </t>
    </r>
    <r>
      <rPr>
        <rFont val="Arial"/>
        <color rgb="FF1155CC"/>
        <sz val="10.0"/>
        <u/>
      </rPr>
      <t>Safeguards Doc</t>
    </r>
    <r>
      <rPr>
        <rFont val="Arial"/>
        <sz val="10.0"/>
      </rPr>
      <t xml:space="preserve"> is OK for submitting to UCSF</t>
    </r>
  </si>
  <si>
    <t>Privacy &amp; Security Training - March 2025.docx; 03i HIPAA Definitions Policy.docx; 03q HIPAA - Risk Management Policy.docx; 03s HIPAA - Security Incident Management Policy.docx</t>
  </si>
  <si>
    <t>Job descriptions were not included; answer should avoid claiming that role responsibilities are in job descriptions unless HR confirms.</t>
  </si>
  <si>
    <t>Optional: Security &amp; Privacy Roles/RACI addendum.</t>
  </si>
  <si>
    <t>No explicit policy defining organizational risk tolerance and risk acceptance authority was found. The Risk Management Policy references reporting results to the Risk Review Committee and, for material risks, the Board or a designated committee, but does not define risk appetite/tolerance thresholds or formal acceptance authority.</t>
  </si>
  <si>
    <t>Team to go over SRA Doc and Policies to remediate on Monday</t>
  </si>
  <si>
    <t>03q HIPAA - Risk Management Policy.docx</t>
  </si>
  <si>
    <t>Need explicit risk acceptance owner/criteria and documentation process.</t>
  </si>
  <si>
    <t>Risk Acceptance &amp; Risk Tolerance Policy.</t>
  </si>
  <si>
    <t>Millie has a BAA policy requiring HIPAA Business Associate Agreements before vendors create, receive, maintain, or transmit PHI. However, the sources do not show a formal risk-based vendor management program with minimum security/HIPAA requirements by risk tier.</t>
  </si>
  <si>
    <t>03c HIPAA - Business Associate Agreement Policy.docx; 03l HIPAA - Millie_BAA (for BA Use with Subcontractor).doc</t>
  </si>
  <si>
    <t>BAA process exists; vendor security questionnaire/risk tiering evidence not found.</t>
  </si>
  <si>
    <t>Vendor Risk Management Program SOP + vendor review evidence.</t>
  </si>
  <si>
    <t>Data in transit is protected by requiring ePHI to be encrypted before email or transmission over open networks. The Encryption Policy requires encryption protocols consistent with FIPS 140-2/NIST guidance for data in motion, and the Remote Access Policy prohibits transmitting PHI over open lines unless encrypted.</t>
  </si>
  <si>
    <t>03g HIPAA - Encryption Policy.docx; 03p HIPAA - Remote Access Policy.docx; 03r HIPAA - Safeguards Policy.docx</t>
  </si>
  <si>
    <t>Yes. Incident response authority is assigned to the Chief Security Officer, Chief Compliance Officer, Chief Privacy Officer, General Counsel/Chief Legal Officer, and CEO depending on incident actions. The Breach Notification Policy identifies the Chief Privacy Officer as responsible for breach investigation and notification decisions, with Security Officer involvement.</t>
  </si>
  <si>
    <t>03s HIPAA - Security Incident Management Policy.docx; 03b HIPAA - Breach Notification Policy.docx</t>
  </si>
  <si>
    <t>Criticality levels/severity tiers are not explicit; add if UCSF expects severity categories.</t>
  </si>
  <si>
    <t>Optional: Incident Severity &amp; Escalation Matrix.</t>
  </si>
  <si>
    <t>Yes. The Security Incident Management Policy identifies key personnel, reporting, investigation, response priorities, incident logs, and post-incident analysis including vulnerabilities exploited, how the incident occurred, resolution/containment, adequacy of policies, unresolved vulnerabilities, and needed updates. The Breach Notification Policy contains breach determination and risk assessment procedures.</t>
  </si>
  <si>
    <t>Yes. The Contingency Planning Policy requires the Chief Security Officer to conduct drills and exercises with all personnel to test and evaluate disaster recovery plans and emergency protocols, and submit written summaries of results to the CEO.</t>
  </si>
  <si>
    <t>03d HIPAA - Contingency Planning Policy.docx</t>
  </si>
  <si>
    <t>Yes. The Contingency Planning Policy states that disaster recovery plans and emergency protocols must be revised to remedy deficiencies identified during drills or to reflect material changes in operations, systems, personnel, contractors, and business arrangements.</t>
  </si>
  <si>
    <t>Chase, Terese, Zoe</t>
  </si>
  <si>
    <t>Yes. The Security Incident Management Policy requires prompt reporting, CSO investigation within 24 hours, incident response priorities, incident logs, post-incident analysis, and annual reporting. The Breach Notification Policy requires investigation, PHI compromise assessment, risk assessment, notifications if required, mitigation, sanctions, and accounting of disclosures.</t>
  </si>
  <si>
    <t>Elysia</t>
  </si>
  <si>
    <t>We use audit logging across our data stack to monitor user activity and data movement, including Fivetran (connector activity and data syncs), Databricks (logins, data access, and query activity), Hex (workspace actions and access events), Aptible (workspace actions and database access events), AWS (CloudTrail for AWS activity, Cloudwatch audit logs for our internal app activity). These logs provide visibility into anomalous behavior such as unusual access patterns or large data transfers and support investigation of potential data leakage.
We also utilize User Notifications in AWS to alert to any sign in anomalies and root user log ins.</t>
  </si>
  <si>
    <t>No direct supporting source.</t>
  </si>
  <si>
    <t>Could be Tenisi-owned or not implemented.</t>
  </si>
  <si>
    <t>Data Leak Monitoring / DLP Statement.</t>
  </si>
  <si>
    <t>AGENTS.md and the platform/access matrix describe major systems and workflows involving Acuity, EMR/Elation, Zendesk, Zentake, Withings, Customer.io, Twilio/SendGrid, AWS/Aptible, and other systems. However, no complete internal/external sensitive data flow map or data inventory was found.</t>
  </si>
  <si>
    <t>AGENTS.md; Copy of Millie Matrix of Platforms and Access.xlsx - New Matrix of Apps.csv</t>
  </si>
  <si>
    <t>Need explicit data flow map with PHI categories, systems, transfers, vendors, and owners.</t>
  </si>
  <si>
    <t>Internal/External Data Flow Map and Data Inventory.</t>
  </si>
  <si>
    <t>Kristin</t>
  </si>
  <si>
    <t>No evidence found that Millie conducts background checks on all workforce members or exit interviews covering post-employment HIPAA obligations.</t>
  </si>
  <si>
    <t>Kristin Cherico to add item to remind employees of HIPAA obligations and then we will submit</t>
  </si>
  <si>
    <t>Likely HR-owned.</t>
  </si>
  <si>
    <t>Background Check &amp; HIPAA Exit Interview Policy / HR attestation.</t>
  </si>
  <si>
    <t>Kristin, Patricia, Terese</t>
  </si>
  <si>
    <t>The training document requires all employees to complete privacy/security training and includes an acknowledgment, but no training completion tracker, roster, LMS export, or measurement process was found.</t>
  </si>
  <si>
    <t>Privacy &amp; Security Training - March 2025.docx</t>
  </si>
  <si>
    <t>Need evidence that completion is tracked/measured.</t>
  </si>
  <si>
    <t>Training Completion Tracking SOP and roster/export.</t>
  </si>
  <si>
    <t>Kristin, Tenisi</t>
  </si>
  <si>
    <t>Password and Remote Access policies require deactivation of passwords/remote access on termination or role change. However, no formal cross-system provisioning/deprovisioning process covering all user accounts and physical access was found.</t>
  </si>
  <si>
    <t>03o HIPAA - Password Management Policy.docx / Password Management Policy.pdf; 03p HIPAA - Remote Access Policy.docx; Copy of Millie Matrix of Platforms and Access.xlsx - New Matrix of Apps.csv</t>
  </si>
  <si>
    <t>Need formal user lifecycle/access request workflow.</t>
  </si>
  <si>
    <t>Access Provisioning &amp; Deprovisioning SOP.</t>
  </si>
  <si>
    <t>Millie is being continuously monitored via ConnectSecure Vulnerability assessment tool. Scans are performed twice a month. Once immediately after patch Tuesday and 2 weeks following to view remediations.</t>
  </si>
  <si>
    <t>Tenisi may have vulnerability scan and infrastructure risk evidence; not present in uploaded sources.</t>
  </si>
  <si>
    <t>The last Vulnerability scan was performed on 4/30/2026.</t>
  </si>
  <si>
    <t>The policy requires annual assessments but does not provide the last completed assessment date.</t>
  </si>
  <si>
    <t>No completed risk assessment was uploaded showing that internal/external threats are documented. The Risk Management Policy requires threat identification, vulnerability identification, control analysis, likelihood, impact, and risk determination.</t>
  </si>
  <si>
    <t>Policy supports what should happen, not proof that a current risk assessment contains those threats.</t>
  </si>
  <si>
    <t>Attach current risk assessment or threat register.</t>
  </si>
  <si>
    <t>The Risk Committee is responsible for performing risk analysis and includes the Chief Privacy Officer, Chief Security Officer, and other subject matter experts; the definitions policy also describes a Risk Management Team with compliance, security, privacy, HR/facilities, and technology subject matter experts.</t>
  </si>
  <si>
    <t>03q HIPAA - Risk Management Policy.docx; 03i HIPAA Definitions Policy.docx</t>
  </si>
  <si>
    <t>Tenisitech owns the ConnectSecure Tenant for Millie Health. We are the performers of the Vulnerability assessments.</t>
  </si>
  <si>
    <t>There is currently no remote access via VPN services. Tenisitech uses NinjaOne RMM to remotely access devices as needed for troubleshooting.</t>
  </si>
  <si>
    <t>03p HIPAA - Remote Access Policy.docx</t>
  </si>
  <si>
    <t>There is no physiacal server infrastructure. LAN is separate from production and wireless is guest and produvtions.</t>
  </si>
  <si>
    <t>Likely Tenisi-owned control.</t>
  </si>
  <si>
    <t>Policy sources support asset management controls: the Contingency Planning Policy requires maintaining and updating an inventory of critical IT system components and prohibits purchasing IT system components without Chief Security Officer approval; Remote Access procedures require tracking removed company equipment; Workstation/Paper policies address secure storage and disposal.</t>
  </si>
  <si>
    <t>03d HIPAA - Contingency Planning Policy.docx; 03p HIPAA - Remote Access Policy.docx; 03w HIPAA - Workstation Use Policy.docx; 03n HIPAA - Paper Document Management Policy.docx</t>
  </si>
  <si>
    <t>Does not include a complete hardware lifecycle inventory or Tenisi-managed device process.</t>
  </si>
  <si>
    <t>Optional: Asset Lifecycle SOP / Tenisi hardware inventory.</t>
  </si>
  <si>
    <t>Devices enrolled into ninja receive patch management schedules along with baseline security tools, Vulnerability scanning agent and policy management.</t>
  </si>
  <si>
    <t>03w HIPAA - Workstation Use Policy.docx</t>
  </si>
  <si>
    <t>Need baseline config standard and owner.</t>
  </si>
  <si>
    <t>No formal SDLC for asset and hardware configurations was found. AGENTS.md includes engineering change discipline, testing, approvals, and codebase expectations, but not a formal SDLC document for all assets/hardware.</t>
  </si>
  <si>
    <t>AGENTS.md</t>
  </si>
  <si>
    <t>Need formal SDLC/change lifecycle if UCSF requires it.</t>
  </si>
  <si>
    <t>There is no SDLC management in place or believed to be required.</t>
  </si>
  <si>
    <t>No formal configuration change-control process was found. AGENTS.md describes internal development planning/approval and testing expectations, but the uploaded sources do not show a security change-control process with request, approval, documentation, and implementation records.</t>
  </si>
  <si>
    <t>Need change request/approval workflow evidence.</t>
  </si>
  <si>
    <t>Change Management Policy / Change Log Template.</t>
  </si>
  <si>
    <t>Yes for data and software backups: the Contingency Planning Policy requires backup of all data residing on the IT System every 24 hours, encrypted off-site storage of backup copies, written backup procedures maintained on-site and off-site, quarterly review/updates, and DR drills/tests.</t>
  </si>
  <si>
    <t>Question also mentions server/laptop configurations; no laptop configuration backup evidence was found.</t>
  </si>
  <si>
    <t>No backup software in place for laptops. No server infrastructure devices connect to SaaS environments only.</t>
  </si>
  <si>
    <t>Tenisi, Chase, Terese</t>
  </si>
  <si>
    <t>Yes. The Safeguards Policy requires PHI disposal in a manner that makes it unreadable/unusable, paper shredding, media sanitization before reuse, and deletion of ePHI when no longer needed. The Paper Document Management Policy requires shredding protected documents and vendor certificates of destruction for shredding services.</t>
  </si>
  <si>
    <r>
      <rPr>
        <rFont val="Arial"/>
        <sz val="10.0"/>
      </rPr>
      <t xml:space="preserve">Needs confirmation from Terese Tatum et al that </t>
    </r>
    <r>
      <rPr>
        <rFont val="Arial"/>
        <color rgb="FF1155CC"/>
        <sz val="10.0"/>
        <u/>
      </rPr>
      <t>Safeguards Doc</t>
    </r>
    <r>
      <rPr>
        <rFont val="Arial"/>
        <sz val="10.0"/>
      </rPr>
      <t xml:space="preserve"> is OK for submitting to UCSF</t>
    </r>
  </si>
  <si>
    <t>03r HIPAA - Safeguards Policy.docx; 03n HIPAA - Paper Document Management Policy.docx; 03w HIPAA - Workstation Use Policy.docx</t>
  </si>
  <si>
    <t>Yes. Workstation policy requires work-related data/files to be stored on the external hosting platform, company app, or network server, not on a C drive, CD, thumb drive, or mobile device unless authorized. Remote Access policy states PHI shall not be stored on hard drives of computers/laptops/mobile devices, and Safeguards requires ePHI to be removed from media before reuse.</t>
  </si>
  <si>
    <t>03w HIPAA - Workstation Use Policy.docx; 03p HIPAA - Remote Access Policy.docx; 03r HIPAA - Safeguards Policy.docx</t>
  </si>
  <si>
    <t>No evidence of IDS/IPS, firewall alerting, SIEM, or network monitoring tooling was found. Remote Access policy mentions maintaining/reviewing records of inbound remote access when applicable, but not general network monitoring.</t>
  </si>
  <si>
    <t>Network Security Monitoring / IDS-IPS Statement.</t>
  </si>
  <si>
    <t>Terese</t>
  </si>
  <si>
    <t>03i HIPAA Definitions Policy.docx; 03k HIPAA - Individual Rights to Access Their Records Policy.docx; 03j HIPAA - Individual Right to Request Amendments to PHI Policy.docx; 03v HIPAA - Use and Disclosure of PHI for Various Legal, Public Health and Regulatory Purposes Policy.docx; 03h HIPAA and Marketing Policy.docx; 03e HIPAA - De-Identifying and Re-Identifying PHI and Creation of Limited Data Sets Policy.docx; 03b HIPAA - Breach Notification Policy.docx; 03m HIPAA - Minimum Necessary Rule Policy.docx</t>
  </si>
  <si>
    <t>03r HIPAA - Safeguards Policy.docx; 03n HIPAA - Paper Document Management Policy.docx</t>
  </si>
  <si>
    <t>Yes. The Contingency Planning Policy establishes continuity/disaster response requirements, data/software backup, IT inventory, UPS/power protections, disaster recovery plan preparation and approval, critical provider business continuity clauses, emergency operations, drills/testing, updates, confidentiality, and insurance considerations.</t>
  </si>
  <si>
    <t xml:space="preserve">  Is the physical environment monitored to detect potential security events? For example cameras, security guard, badge readers for restricted access areas.
</t>
  </si>
  <si>
    <t>No evidence of cameras, guards, badge readers, or equivalent physical environment monitoring was found. Safeguards include visitor controls, IDs, and secure storage, but not active physical monitoring.</t>
  </si>
  <si>
    <t>03r HIPAA - Safeguards Policy.docx</t>
  </si>
  <si>
    <t>Likely site/facilities-owned.</t>
  </si>
  <si>
    <t>Physical Security Monitoring Statement by site.</t>
  </si>
  <si>
    <t>Yes. Millie's current answer states the admin dashboard enforces role-based access control and technical systems such as AWS, Aptible, and GitHub use RBAC. This is supported by the Minimum Necessary Rule Policy, which limits PHI access to personnel with a need to know, and the Safeguards Policy, which requires unique user IDs based on job responsibilities.</t>
  </si>
  <si>
    <t>03m HIPAA - Minimum Necessary Rule Policy.docx; 03r HIPAA - Safeguards Policy.docx</t>
  </si>
  <si>
    <t>Could strengthen with screenshots/admin RBAC role matrix.</t>
  </si>
  <si>
    <t xml:space="preserve">Technical controls include password protection, unique user identifiers, two-factor authentication where possible, approved password manager usage, device encryption for PHI-accessing devices, remote access restrictions, prohibitions on local PHI storage, and encryption requirements for ePHI transmitted over open networks. Millie's application guidance also notes encrypted at-rest handling for sensitive birth plan/My Health answer payloads.
https://www.aptible.com/docs/core-concepts/managed-databases/managing-databases/database-encryption/overview 
https://www.aptible.com/docs/core-concepts/managed-databases/managing-databases/database-backups </t>
  </si>
  <si>
    <t>Provided links to aptible docs in the draft answer</t>
  </si>
  <si>
    <t>03o HIPAA - Password Management Policy.docx / Password Management Policy.pdf; 03p HIPAA - Remote Access Policy.docx; 03g HIPAA - Encryption Policy.docx; 03w HIPAA - Workstation Use Policy.docx; AGENTS.md</t>
  </si>
  <si>
    <t xml:space="preserve">For database encryption-at-rest, attach AWS/Aptible evidence if available.
</t>
  </si>
  <si>
    <t>Document / Evidence Needed</t>
  </si>
  <si>
    <t>Likely Owner(s)</t>
  </si>
  <si>
    <t>Why Needed</t>
  </si>
  <si>
    <t>Suggested Contents</t>
  </si>
  <si>
    <t>Priority</t>
  </si>
  <si>
    <t>3</t>
  </si>
  <si>
    <t>List systems/platforms, data sensitivity, business criticality, owner, RTO/RPO, dependency chain, restart/recovery priority, and Tenisi-owned hardware/network inputs.</t>
  </si>
  <si>
    <t>Medium</t>
  </si>
  <si>
    <t>Risk Assessment &amp; Vulnerability Management Evidence Pack.</t>
  </si>
  <si>
    <t>7</t>
  </si>
  <si>
    <t>Attach latest enterprise risk assessment, date completed, risk register, vulnerability scan cadence, scan owner, remediation workflow, and current outstanding high risks.</t>
  </si>
  <si>
    <t>High</t>
  </si>
  <si>
    <t>Add completed risk assessment report/date or Tenisi attestation.</t>
  </si>
  <si>
    <t>8</t>
  </si>
  <si>
    <t>Provide date of last completed risk assessment and attestation/report summary.</t>
  </si>
  <si>
    <t>9</t>
  </si>
  <si>
    <t>Attach threat register showing internal/external threat categories, vulnerabilities, controls, likelihood, impact, residual risk, and owner.</t>
  </si>
  <si>
    <t>11</t>
  </si>
  <si>
    <t>Define risk rating model, risk tolerance, acceptance criteria, required approvers, review cadence, exceptions, and records retained.</t>
  </si>
  <si>
    <t>Network Segmentation / Network Architecture Statement.</t>
  </si>
  <si>
    <t>15</t>
  </si>
  <si>
    <t>TBD / Tenisi or internal owner</t>
  </si>
  <si>
    <t>Summarize clinic/corporate/network/cloud segmentation, protected zones, firewalling/VPN, Tenisi controls, diagrams if available.</t>
  </si>
  <si>
    <t>16</t>
  </si>
  <si>
    <t>Describe training assignment, completion tracking, reminders/escalation, acknowledgement retention, and include completion roster/export.</t>
  </si>
  <si>
    <t>17</t>
  </si>
  <si>
    <t>Vendor inventory, risk tiering, HIPAA/security questionnaire, BAA review, approval workflow, periodic reassessment, and evidence folder.</t>
  </si>
  <si>
    <t>22</t>
  </si>
  <si>
    <t>State whether DLP/log monitoring exists for email/cloud/endpoints/network; identify tooling, alert review owner, escalation, and coverage gaps.</t>
  </si>
  <si>
    <t>Secure Configuration Baseline Standard.</t>
  </si>
  <si>
    <t>23</t>
  </si>
  <si>
    <t>Endpoint, server, cloud, and network baseline controls; owner; review cadence; exceptions; Tenisi-managed controls.</t>
  </si>
  <si>
    <t>Secure SDLC Policy / Asset Configuration Lifecycle Procedure.</t>
  </si>
  <si>
    <t>24</t>
  </si>
  <si>
    <t>Planning, requirements, design, build, test, approval, deploy, maintenance, retirement, and security review gates.</t>
  </si>
  <si>
    <t>25</t>
  </si>
  <si>
    <t>Change intake, risk classification, approvals, testing, implementation, rollback, emergency changes, evidence retention.</t>
  </si>
  <si>
    <t>29</t>
  </si>
  <si>
    <t>Background-check scope, timing, exceptions, exit checklist, HIPAA confidentiality reminder, access handoff to IT.</t>
  </si>
  <si>
    <t>30</t>
  </si>
  <si>
    <t>Access request/approval, role mapping, least privilege, provisioning, periodic review, termination/offboarding SLAs, physical access.</t>
  </si>
  <si>
    <t>32</t>
  </si>
  <si>
    <t>System inventory, PHI categories, source/destination, transfers, vendors, storage locations, encryption, owner, retention, BAAs.</t>
  </si>
  <si>
    <t>35</t>
  </si>
  <si>
    <t>IDS/IPS/firewall/SIEM/log monitoring coverage, Tenisi alerting, review cadence, escalation, sample alert evidence.</t>
  </si>
  <si>
    <t>36</t>
  </si>
  <si>
    <t>Site-by-site controls: locks, cameras, badge/access controls, visitor logs, restricted areas, responsible owner, exceptions.</t>
  </si>
  <si>
    <t>Source</t>
  </si>
  <si>
    <t>What it supports in this workbook</t>
  </si>
  <si>
    <t>Workforce security responsibilities, required new-hire training, HIPAA/privacy/security summaries, acknowledgment language.</t>
  </si>
  <si>
    <t>Administrative, technical, and physical safeguards; access controls; email/texting; disposal; facility safeguards; training.</t>
  </si>
  <si>
    <t>Workstation locking, password/user ID protection, configuration restrictions, no local storage on C drive/CD/thumb drive/mobile device.</t>
  </si>
  <si>
    <t>03o HIPAA - Password Management Policy.docx / Password Management Policy.pdf</t>
  </si>
  <si>
    <t>Password construction, mobile passcodes, 2FA wherever possible, password manager, deactivation after termination/role change.</t>
  </si>
  <si>
    <t>Remote access authorization, device requirements, encryption/no local PHI storage, added authentication, monitoring, termination of remote access.</t>
  </si>
  <si>
    <t>03g HIPAA - Encryption Policy.docx</t>
  </si>
  <si>
    <t>ePHI encryption over open networks and FIPS/NIST-aligned data-in-motion expectations.</t>
  </si>
  <si>
    <t>Annual risk assessment policy, Risk Committee, threat/vulnerability/control analysis, mitigation planning, risk review committee/Board reporting.</t>
  </si>
  <si>
    <t>03s HIPAA - Security Incident Management Policy.docx</t>
  </si>
  <si>
    <t>Incident reporting, 24-hour investigation, response authority, incident logs, post-incident analysis, annual report.</t>
  </si>
  <si>
    <t>03b HIPAA - Breach Notification Policy.docx</t>
  </si>
  <si>
    <t>Breach reporting, investigation, risk assessment, notification, mitigation, breach logs, sample forms/letters.</t>
  </si>
  <si>
    <t>Business continuity/disaster recovery, daily backups, off-site encrypted backups, IT inventory, DR drills, lessons learned/updates.</t>
  </si>
  <si>
    <t>03n HIPAA - Paper Document Management Policy.docx</t>
  </si>
  <si>
    <t>Physical paper PHI handling, locked storage, shredding, vendor certificates of destruction.</t>
  </si>
  <si>
    <t>03c HIPAA - Business Associate Agreement Policy.docx; 03l HIPAA - Millie_BAA.doc</t>
  </si>
  <si>
    <t>BAA requirements, subcontractor obligations, breach/security incident reporting, return/destruction of PHI.</t>
  </si>
  <si>
    <t>03m HIPAA - Minimum Necessary Rule Policy.docx</t>
  </si>
  <si>
    <t>Least privilege/need-to-know PHI access.</t>
  </si>
  <si>
    <t>03i HIPAA Definitions Policy.docx</t>
  </si>
  <si>
    <t>Definitions of IT System, PHI, Risk Management Team, User, Workstation.</t>
  </si>
  <si>
    <t>Copy of Millie Matrix of Platforms and Access.xlsx - New Matrix of Apps.csv</t>
  </si>
  <si>
    <t>Application/platform inventory, access model, owner/admin, license/access needs by role.</t>
  </si>
  <si>
    <t>Millie business context, PHI/HIPAA posture, codebases, integrations, workflows, security/engineering operating expectations.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</si>
</sst>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0.0"/>
      <color theme="1"/>
      <name val="Montserrat"/>
    </font>
    <font>
      <color theme="1"/>
      <name val="Arial"/>
      <scheme val="minor"/>
    </font>
    <font>
      <sz val="10.0"/>
      <color rgb="FF000000"/>
      <name val="Montserrat"/>
    </font>
    <font>
      <u/>
      <color rgb="FF434343"/>
      <name val="Roboto"/>
    </font>
    <font>
      <b/>
      <sz val="10.0"/>
      <color rgb="FF1F2937"/>
      <name val="Aptos"/>
    </font>
    <font>
      <sz val="10.0"/>
      <color theme="1"/>
      <name val="Aptos"/>
    </font>
    <font>
      <b/>
      <sz val="10.0"/>
      <color theme="1"/>
      <name val="Aptos"/>
    </font>
    <font>
      <b/>
      <sz val="10.0"/>
      <color rgb="FF1F2937"/>
      <name val="Arial"/>
    </font>
    <font>
      <sz val="14.0"/>
      <color theme="1"/>
      <name val="Arial"/>
    </font>
    <font>
      <sz val="10.0"/>
      <color theme="1"/>
      <name val="Arial"/>
    </font>
    <font>
      <u/>
      <sz val="10.0"/>
      <color rgb="FF0000FF"/>
      <name val="Arial"/>
    </font>
    <font>
      <sz val="14.0"/>
      <color theme="1"/>
      <name val="Aptos"/>
    </font>
    <font>
      <u/>
      <sz val="10.0"/>
      <color theme="1"/>
      <name val="Arial"/>
    </font>
    <font>
      <u/>
      <sz val="10.0"/>
      <color rgb="FF0000FF"/>
      <name val="Arial"/>
    </font>
  </fonts>
  <fills count="10">
    <fill>
      <patternFill patternType="none"/>
    </fill>
    <fill>
      <patternFill patternType="lightGray"/>
    </fill>
    <fill>
      <patternFill patternType="solid">
        <fgColor rgb="FFFFFFFF"/>
        <bgColor rgb="FFFFFFFF"/>
      </patternFill>
    </fill>
    <fill>
      <patternFill patternType="solid">
        <fgColor rgb="FFFCE5CD"/>
        <bgColor rgb="FFFCE5CD"/>
      </patternFill>
    </fill>
    <fill>
      <patternFill patternType="solid">
        <fgColor rgb="FFF8FAFC"/>
        <bgColor rgb="FFF8FAFC"/>
      </patternFill>
    </fill>
    <fill>
      <patternFill patternType="solid">
        <fgColor rgb="FFEAF2F8"/>
        <bgColor rgb="FFEAF2F8"/>
      </patternFill>
    </fill>
    <fill>
      <patternFill patternType="solid">
        <fgColor theme="4"/>
        <bgColor theme="4"/>
      </patternFill>
    </fill>
    <fill>
      <patternFill patternType="solid">
        <fgColor rgb="FFC1E4F5"/>
        <bgColor rgb="FFC1E4F5"/>
      </patternFill>
    </fill>
    <fill>
      <patternFill patternType="solid">
        <fgColor rgb="FFB6D7A8"/>
        <bgColor rgb="FFB6D7A8"/>
      </patternFill>
    </fill>
    <fill>
      <patternFill patternType="solid">
        <fgColor theme="0"/>
        <bgColor theme="0"/>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2" fontId="3" numFmtId="0" xfId="0" applyAlignment="1" applyFill="1" applyFont="1">
      <alignment readingOrder="0" shrinkToFit="0" vertical="center" wrapText="1"/>
    </xf>
    <xf borderId="0" fillId="3" fontId="2" numFmtId="0" xfId="0" applyAlignment="1" applyFill="1" applyFont="1">
      <alignment readingOrder="0" shrinkToFit="0" vertical="center" wrapText="0"/>
    </xf>
    <xf borderId="0" fillId="0" fontId="2" numFmtId="0" xfId="0" applyAlignment="1" applyFont="1">
      <alignment shrinkToFit="0" vertical="center" wrapText="0"/>
    </xf>
    <xf borderId="0" fillId="0" fontId="4"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shrinkToFit="0" vertical="center" wrapText="0"/>
    </xf>
    <xf borderId="0" fillId="2"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2" fontId="3" numFmtId="0" xfId="0" applyAlignment="1" applyFont="1">
      <alignment readingOrder="0" shrinkToFit="0" vertical="center" wrapText="0"/>
    </xf>
    <xf borderId="0" fillId="4" fontId="5" numFmtId="0" xfId="0" applyAlignment="1" applyFill="1" applyFont="1">
      <alignment shrinkToFit="0" wrapText="1"/>
    </xf>
    <xf borderId="0" fillId="0" fontId="6" numFmtId="0" xfId="0" applyAlignment="1" applyFont="1">
      <alignment shrinkToFit="0" wrapText="1"/>
    </xf>
    <xf borderId="0" fillId="5" fontId="7" numFmtId="0" xfId="0" applyAlignment="1" applyFill="1" applyFont="1">
      <alignment shrinkToFit="0" wrapText="1"/>
    </xf>
    <xf borderId="0" fillId="6" fontId="5" numFmtId="0" xfId="0" applyAlignment="1" applyFill="1" applyFont="1">
      <alignment shrinkToFit="0" vertical="top" wrapText="1"/>
    </xf>
    <xf borderId="0" fillId="6" fontId="8" numFmtId="0" xfId="0" applyAlignment="1" applyFont="1">
      <alignment readingOrder="0" shrinkToFit="0" vertical="top" wrapText="1"/>
    </xf>
    <xf borderId="0" fillId="7" fontId="6" numFmtId="0" xfId="0" applyAlignment="1" applyFill="1" applyFont="1">
      <alignment shrinkToFit="0" vertical="top" wrapText="1"/>
    </xf>
    <xf borderId="0" fillId="7" fontId="9" numFmtId="0" xfId="0" applyAlignment="1" applyFont="1">
      <alignment readingOrder="0" shrinkToFit="0" vertical="top" wrapText="1"/>
    </xf>
    <xf borderId="0" fillId="7" fontId="10" numFmtId="0" xfId="0" applyAlignment="1" applyFont="1">
      <alignment readingOrder="0" shrinkToFit="0" vertical="top" wrapText="1"/>
    </xf>
    <xf borderId="0" fillId="7" fontId="11" numFmtId="0" xfId="0" applyAlignment="1" applyFont="1">
      <alignment readingOrder="0" shrinkToFit="0" vertical="top" wrapText="1"/>
    </xf>
    <xf borderId="0" fillId="8" fontId="6" numFmtId="0" xfId="0" applyAlignment="1" applyFill="1" applyFont="1">
      <alignment shrinkToFit="0" vertical="top" wrapText="1"/>
    </xf>
    <xf borderId="0" fillId="8" fontId="10" numFmtId="0" xfId="0" applyAlignment="1" applyFont="1">
      <alignment readingOrder="0" shrinkToFit="0" vertical="top" wrapText="1"/>
    </xf>
    <xf borderId="0" fillId="8" fontId="2" numFmtId="0" xfId="0" applyFont="1"/>
    <xf borderId="0" fillId="9" fontId="6" numFmtId="0" xfId="0" applyAlignment="1" applyFill="1" applyFont="1">
      <alignment shrinkToFit="0" vertical="top" wrapText="1"/>
    </xf>
    <xf borderId="0" fillId="9" fontId="12" numFmtId="0" xfId="0" applyAlignment="1" applyFont="1">
      <alignment shrinkToFit="0" vertical="top" wrapText="1"/>
    </xf>
    <xf borderId="0" fillId="9" fontId="10" numFmtId="0" xfId="0" applyAlignment="1" applyFont="1">
      <alignment readingOrder="0" shrinkToFit="0" vertical="top" wrapText="1"/>
    </xf>
    <xf borderId="0" fillId="9" fontId="9" numFmtId="0" xfId="0" applyAlignment="1" applyFont="1">
      <alignment readingOrder="0" shrinkToFit="0" vertical="top" wrapText="1"/>
    </xf>
    <xf borderId="0" fillId="9" fontId="6" numFmtId="0" xfId="0" applyAlignment="1" applyFont="1">
      <alignment readingOrder="0" shrinkToFit="0" vertical="top" wrapText="1"/>
    </xf>
    <xf borderId="0" fillId="9" fontId="13" numFmtId="0" xfId="0" applyAlignment="1" applyFont="1">
      <alignment readingOrder="0" shrinkToFit="0" vertical="top" wrapText="1"/>
    </xf>
    <xf borderId="0" fillId="7" fontId="6" numFmtId="0" xfId="0" applyAlignment="1" applyFont="1">
      <alignment readingOrder="0" shrinkToFit="0" vertical="top" wrapText="1"/>
    </xf>
    <xf borderId="0" fillId="9" fontId="14" numFmtId="0" xfId="0" applyAlignment="1" applyFont="1">
      <alignment readingOrder="0" shrinkToFit="0" vertical="top" wrapText="1"/>
    </xf>
    <xf borderId="0" fillId="5" fontId="5" numFmtId="0" xfId="0" applyAlignment="1" applyFont="1">
      <alignment shrinkToFit="0" vertical="top" wrapText="1"/>
    </xf>
    <xf borderId="0" fillId="0" fontId="6" numFmtId="0" xfId="0" applyAlignment="1" applyFont="1">
      <alignment shrinkToFit="0" vertical="top" wrapText="1"/>
    </xf>
  </cellXfs>
  <cellStyles count="1">
    <cellStyle xfId="0" name="Normal" builtinId="0"/>
  </cellStyles>
  <dxfs count="13">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92400E"/>
      </font>
      <fill>
        <patternFill patternType="solid">
          <fgColor rgb="FFFEF3C7"/>
          <bgColor rgb="FFFEF3C7"/>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b/>
        <color rgb="FF991B1B"/>
      </font>
      <fill>
        <patternFill patternType="solid">
          <fgColor rgb="FFFEE2E2"/>
          <bgColor rgb="FFFEE2E2"/>
        </patternFill>
      </fill>
      <border/>
    </dxf>
    <dxf>
      <font>
        <b/>
        <color rgb="FF92400E"/>
      </font>
      <fill>
        <patternFill patternType="solid">
          <fgColor rgb="FFFEF3C7"/>
          <bgColor rgb="FFFEF3C7"/>
        </patternFill>
      </fill>
      <border/>
    </dxf>
  </dxfs>
  <tableStyles count="3">
    <tableStyle count="4" pivot="0" name="Tenisi-style">
      <tableStyleElement dxfId="1" type="headerRow"/>
      <tableStyleElement dxfId="2" type="firstRowStripe"/>
      <tableStyleElement dxfId="3" type="secondRowStripe"/>
      <tableStyleElement dxfId="4" size="0" type="wholeTable"/>
    </tableStyle>
    <tableStyle count="3" pivot="0" name="AI - Document Backlog-style">
      <tableStyleElement dxfId="8" type="headerRow"/>
      <tableStyleElement dxfId="9" type="firstRowStripe"/>
      <tableStyleElement dxfId="10" type="secondRowStripe"/>
    </tableStyle>
    <tableStyle count="3" pivot="0" name="AI - Source Index-style">
      <tableStyleElement dxfId="8" type="headerRow"/>
      <tableStyleElement dxfId="9" type="firstRowStripe"/>
      <tableStyleElement dxfId="10"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28c5aeaa-6d95-4d28-becd-ed3d517e10ce}">
    <Anchor>
      <Comment id="{5b9704c2-ed8c-4282-a44c-81c3aa629a0b}"/>
    </Anchor>
    <History>
      <Event time="2026-05-04T15:34:42.00" id="{944b5ab9-d07f-4c61-bf2c-6c3ca7ddb59b}">
        <Attribution userId="placeholder@email.com" userName="Terese Tatum" userProvider="google-sheets"/>
        <Anchor>
          <Comment id="{5b9704c2-ed8c-4282-a44c-81c3aa629a0b}"/>
        </Anchor>
        <Create/>
      </Event>
      <Event time="2026-05-04T15:34:42.00" id="{c012d990-486a-4a37-83d3-1a5f0f935783}">
        <Attribution userId="placeholder@email.com" userName="Terese Tatum" userProvider="google-sheets"/>
        <Anchor>
          <Comment id="{5b9704c2-ed8c-4282-a44c-81c3aa629a0b}"/>
        </Anchor>
        <Assign userId="patricia@millieclinic.com" userName="patricia@millieclinic.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Zoe Henry" id="{a7a3ac58-40d8-45ce-b155-bfa3f06bff50}" providerId="google-sheets"/>
  <x18tc:person displayName="zoe.h@millieclinic.com" id="{c75bf430-d0df-4f86-ba66-20868e3c55fe}" userId="zoe.h@millieclinic.com" providerId="google-sheets"/>
  <x18tc:person displayName="Elysia Su" id="{3bb4d244-f6e9-4834-9eb2-69ecd3aed8df}" providerId="google-sheets"/>
  <x18tc:person displayName="chase.s@millieclinic.com" id="{d7486678-c15c-4039-9a67-77450db06fd9}" userId="chase.s@millieclinic.com" providerId="google-sheets"/>
  <x18tc:person displayName="terese.t@millieclinic.com" id="{5dad9708-b9aa-4f84-8585-531358aa104e}" userId="terese.t@millieclinic.com" providerId="google-sheets"/>
  <x18tc:person displayName="anu@millieclinic.com" id="{8d497148-d805-41e0-9859-0ede8cab088f}" userId="anu@millieclinic.com" providerId="google-sheets"/>
  <x18tc:person displayName="kristin.c@millieclinic.com" id="{b0b9d88d-ca06-4c01-accf-ac806102b476}" userId="kristin.c@millieclinic.com" providerId="google-sheets"/>
  <x18tc:person displayName="Patricia Bevitz" id="{40059acb-85b8-4ad1-b94b-38fd4219b14e}" providerId="google-sheets"/>
  <x18tc:person displayName="patricia@millieclinic.com" id="{7209c1e1-3dc7-43f8-ad40-cee8f3cc30df}" userId="patricia@millieclinic.com" providerId="google-sheets"/>
  <x18tc:person displayName="Terese Tatum" id="{a54bfe12-f452-4254-a8e6-675d869cdb15}" providerId="google-sheets"/>
  <x18tc:person displayName="Chase Schwalbach" id="{9a8f459e-239e-46c7-80cc-a1fc51221fa1}" providerId="google-sheets"/>
  <x18tc:person displayName="Kristin Cherico" id="{7c405d8f-4dd2-45f8-b97a-37f71af499bf}" providerId="google-sheets"/>
</x18tc:personList>
</file>

<file path=xl/tables/table1.xml><?xml version="1.0" encoding="utf-8"?>
<table xmlns="http://schemas.openxmlformats.org/spreadsheetml/2006/main" ref="A1:G115" displayName="Questions_from_Clearwater" name="Questions_from_Clearwater" id="1">
  <tableColumns count="7">
    <tableColumn name="Question" id="1"/>
    <tableColumn name="Answer" id="2"/>
    <tableColumn name="Notes" id="3"/>
    <tableColumn name="URL" id="4"/>
    <tableColumn name="Point Person" id="5"/>
    <tableColumn name="Need to Figure out PP" id="6"/>
    <tableColumn name="Effort" id="7"/>
  </tableColumns>
  <tableStyleInfo name="Tenisi-style" showColumnStripes="0" showFirstColumn="1" showLastColumn="1" showRowStripes="1"/>
</table>
</file>

<file path=xl/tables/table2.xml><?xml version="1.0" encoding="utf-8"?>
<table xmlns="http://schemas.openxmlformats.org/spreadsheetml/2006/main" ref="A1:F18" displayName="Table_1" name="Table_1" id="2">
  <tableColumns count="6">
    <tableColumn name="Document / Evidence Needed" id="1"/>
    <tableColumn name="Question Rows" id="2"/>
    <tableColumn name="Likely Owner(s)" id="3"/>
    <tableColumn name="Why Needed" id="4"/>
    <tableColumn name="Suggested Contents" id="5"/>
    <tableColumn name="Priority" id="6"/>
  </tableColumns>
  <tableStyleInfo name="AI - Document Backlog-style" showColumnStripes="0" showFirstColumn="1" showLastColumn="1" showRowStripes="1"/>
</table>
</file>

<file path=xl/tables/table3.xml><?xml version="1.0" encoding="utf-8"?>
<table xmlns="http://schemas.openxmlformats.org/spreadsheetml/2006/main" ref="A1:B17" displayName="Table_2" name="Table_2" id="3">
  <tableColumns count="2">
    <tableColumn name="Source" id="1"/>
    <tableColumn name="What it supports in this workbook" id="2"/>
  </tableColumns>
  <tableStyleInfo name="AI - Source Index-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 dT="2026-05-04T15:03:08.00" personId="{9a8f459e-239e-46c7-80cc-a1fc51221fa1}" id="{e80d1d0e-ef6d-406b-8276-e1fa825d0598}" done="0">
    <x18tc:text xml:space="preserve">@terese.t@millieclinic.com I added a column to the Millie Matrix</x18tc:text>
    <x18tc:mentions>
      <x18tc:mention mentionpersonId="{5dad9708-b9aa-4f84-8585-531358aa104e}" mentionId="{7cef7f99-458e-4f1f-8603-2f0e6c897c8b}" startIndex="0" length="26"/>
    </x18tc:mentions>
  </x18tc:threadedComment>
  <x18tc:threadedComment ref="C38" dT="2026-05-04T15:38:30.00" personId="{a54bfe12-f452-4254-a8e6-675d869cdb15}" id="{46d6082a-b807-4505-b36d-b9b54b72e6b8}" done="0">
    <x18tc:text xml:space="preserve">@anu@millieclinic.com @patricia@millieclinic.com We may need some documentation from our landlords of any security management of the building and @patricia@millieclinic.com do we limit who has access to the actual office? We probably need to document process.</x18tc:text>
    <x18tc:mentions>
      <x18tc:mention mentionpersonId="{8d497148-d805-41e0-9859-0ede8cab088f}" mentionId="{0ffae8cf-1dd6-42a3-b117-c8c0b62c1eac}" startIndex="0" length="21"/>
      <x18tc:mention mentionpersonId="{7209c1e1-3dc7-43f8-ad40-cee8f3cc30df}" mentionId="{86b4e361-408d-4dff-99c1-1c3a14e58a88}" startIndex="22" length="26"/>
      <x18tc:mention mentionpersonId="{7209c1e1-3dc7-43f8-ad40-cee8f3cc30df}" mentionId="{76fd6976-b9b6-4922-ac77-bc10c1756773}" startIndex="146" length="26"/>
    </x18tc:mentions>
  </x18tc:threadedComment>
  <x18tc:threadedComment ref="C38" dT="2026-05-13T11:16:10.00" personId="{9a8f459e-239e-46c7-80cc-a1fc51221fa1}" id="{1cde2530-c6d5-44fe-b430-eef3c45c390e}" parentId="{46d6082a-b807-4505-b36d-b9b54b72e6b8}">
    <x18tc:text xml:space="preserve">Ping on this</x18tc:text>
  </x18tc:threadedComment>
  <x18tc:threadedComment ref="C38" dT="2026-05-13T21:15:49.00" personId="{40059acb-85b8-4ad1-b94b-38fd4219b14e}" id="{1834dd58-1bd0-4d84-9d73-0692a0459d8c}" parentId="{46d6082a-b807-4505-b36d-b9b54b72e6b8}">
    <x18tc:text xml:space="preserve">No just physical keys</x18tc:text>
  </x18tc:threadedComment>
  <x18tc:threadedComment ref="C38" dT="2026-05-13T21:17:12.00" personId="{40059acb-85b8-4ad1-b94b-38fd4219b14e}" id="{931bd33a-189c-4342-ae16-54a56cf5fcbd}" parentId="{46d6082a-b807-4505-b36d-b9b54b72e6b8}">
    <x18tc:text xml:space="preserve">Access to the building is prohibited after 6pm unless key fob given by building management. This is true for weekdays after 6pm and Saturdays after 2pm and all day Sundays
Cameras throughout building and in elevators. Key access to clinic door and a separate key to access locked cabinets</x18tc:text>
  </x18tc:threadedComment>
  <x18tc:threadedComment ref="C38" dT="2026-05-13T21:17:19.00" personId="{40059acb-85b8-4ad1-b94b-38fd4219b14e}" id="{84bef0cf-4f1b-423b-a0eb-6711d5584b23}" parentId="{46d6082a-b807-4505-b36d-b9b54b72e6b8}">
    <x18tc:text xml:space="preserve">https://docs.google.com/document/d/1OuYGIhZv4E9VQUFsqV4QlUUVdNnKsgKYCCM0JRBju3g/edit?usp=sharing</x18tc:text>
    <x18tc:extLst>
      <ext uri="{F7C98A9C-CBB3-438F-8F68-D28B6AF4A901}">
        <xltc2:checksum/>
        <xltc2:hyperlink startIndex="0" length="96" url="https://docs.google.com/document/d/1OuYGIhZv4E9VQUFsqV4QlUUVdNnKsgKYCCM0JRBju3g/edit?usp=sharing"/>
      </ext>
    </x18tc:extLst>
  </x18tc:threadedComment>
  <x18tc:threadedComment ref="C16" dT="2026-05-04T23:42:32.00" personId="{3bb4d244-f6e9-4834-9eb2-69ecd3aed8df}" id="{be01033c-eedd-4f80-bfd8-72912d0ac0a0}" done="1">
    <x18tc:text xml:space="preserve">could we use the swim lanes doc https://drive.google.com/file/d/1-eZcRvt_tdFQzwvhdBu2yptWLNJ2zuFh/view?usp=sharing do we need more explicit data flow mapping</x18tc:text>
    <x18tc:extLst>
      <ext uri="{F7C98A9C-CBB3-438F-8F68-D28B6AF4A901}">
        <xltc2:checksum/>
        <xltc2:hyperlink startIndex="32" length="82" url="https://drive.google.com/file/d/1-eZcRvt_tdFQzwvhdBu2yptWLNJ2zuFh/view?usp=sharing"/>
      </ext>
    </x18tc:extLst>
  </x18tc:threadedComment>
  <x18tc:threadedComment ref="C16" dT="2026-05-05T14:32:20.00" personId="{9a8f459e-239e-46c7-80cc-a1fc51221fa1}" id="{b0eb169f-2ca7-4cc8-9d73-2ff8003f3fb8}" parentId="{be01033c-eedd-4f80-bfd8-72912d0ac0a0}">
    <x18tc:text xml:space="preserve">We'll try that</x18tc:text>
  </x18tc:threadedComment>
  <x18tc:threadedComment ref="C34" dT="2026-05-06T20:21:06.00" personId="{9a8f459e-239e-46c7-80cc-a1fc51221fa1}" id="{5d909c56-183c-4663-b921-eff526cd9ad0}" done="1">
    <x18tc:text xml:space="preserve">@terese.t@millieclinic.com I'm considering asking them for more info on what they want here?</x18tc:text>
    <x18tc:mentions>
      <x18tc:mention mentionpersonId="{5dad9708-b9aa-4f84-8585-531358aa104e}" mentionId="{90b35b20-654a-4a06-beea-3ea15d835f95}" startIndex="0" length="26"/>
    </x18tc:mentions>
  </x18tc:threadedComment>
  <x18tc:threadedComment ref="C19" dT="2026-05-06T20:52:22.00" personId="{9a8f459e-239e-46c7-80cc-a1fc51221fa1}" id="{b8ef49d6-f531-4aa9-90f0-196569991909}" done="1">
    <x18tc:text xml:space="preserve">@kristin.c@millieclinic.com do we have anything formal for removal of access?</x18tc:text>
    <x18tc:mentions>
      <x18tc:mention mentionpersonId="{b0b9d88d-ca06-4c01-accf-ac806102b476}" mentionId="{669bb52f-0fd8-4690-8648-d74b788dd73a}" startIndex="0" length="27"/>
    </x18tc:mentions>
  </x18tc:threadedComment>
  <x18tc:threadedComment ref="C19" dT="2026-05-06T20:53:17.00" personId="{7c405d8f-4dd2-45f8-b97a-37f71af499bf}" id="{fc9bc2ac-c4cb-49f5-9a69-160e72f0d4a8}" parentId="{b8ef49d6-f531-4aa9-90f0-196569991909}">
    <x18tc:text xml:space="preserve">The formal process is that I submit a ticket to Tenisi once I have been given an end date, so, yes?</x18tc:text>
  </x18tc:threadedComment>
  <x18tc:threadedComment ref="C36" dT="2026-05-04T15:34:42.00" personId="{a54bfe12-f452-4254-a8e6-675d869cdb15}" id="{5b9704c2-ed8c-4282-a44c-81c3aa629a0b}" done="0">
    <x18tc:text xml:space="preserve">@patricia@millieclinic.com the policies are in column I. Can you make sure these policies as written are what is happening in the clinics with respects to document handling, logins for workstations, etc?
Assigned to patricia@millieclinic.com</x18tc:text>
    <x18tc:mentions>
      <x18tc:mention mentionpersonId="{7209c1e1-3dc7-43f8-ad40-cee8f3cc30df}" mentionId="{db36673d-6830-4e81-a4fc-b3285290837f}" startIndex="0" length="26"/>
    </x18tc:mentions>
  </x18tc:threadedComment>
  <x18tc:threadedComment ref="C36" dT="2026-05-13T11:16:03.00" personId="{9a8f459e-239e-46c7-80cc-a1fc51221fa1}" id="{b93d5c12-bc81-471f-898a-50500fc3dc84}" parentId="{5b9704c2-ed8c-4282-a44c-81c3aa629a0b}">
    <x18tc:text xml:space="preserve">Ping on this</x18tc:text>
  </x18tc:threadedComment>
  <x18tc:threadedComment ref="C36" dT="2026-05-13T21:15:19.00" personId="{40059acb-85b8-4ad1-b94b-38fd4219b14e}" id="{de5b477b-b651-4231-ab39-4176ed370060}" parentId="{5b9704c2-ed8c-4282-a44c-81c3aa629a0b}">
    <x18tc:text xml:space="preserve">https://docs.google.com/document/d/1OuYGIhZv4E9VQUFsqV4QlUUVdNnKsgKYCCM0JRBju3g/edit?usp=sharing</x18tc:text>
    <x18tc:extLst>
      <ext uri="{F7C98A9C-CBB3-438F-8F68-D28B6AF4A901}">
        <xltc2:checksum/>
        <xltc2:hyperlink startIndex="0" length="96" url="https://docs.google.com/document/d/1OuYGIhZv4E9VQUFsqV4QlUUVdNnKsgKYCCM0JRBju3g/edit?usp=sharing"/>
      </ext>
    </x18tc:extLst>
  </x18tc:threadedComment>
  <x18tc:threadedComment ref="C36" dT="2026-05-13T21:15:35.00" personId="{40059acb-85b8-4ad1-b94b-38fd4219b14e}" id="{fec287ef-678b-4c7e-a15c-24dac3a910ac}" parentId="{5b9704c2-ed8c-4282-a44c-81c3aa629a0b}">
    <x18tc:text xml:space="preserve">We have cabinets that can lock and drawers that lock</x18tc:text>
  </x18tc:threadedComment>
  <x18tc:threadedComment ref="C36" dT="2026-05-13T23:02:15.00" personId="{a54bfe12-f452-4254-a8e6-675d869cdb15}" id="{b76e21b7-0ad6-429d-b15c-f8c476723cf8}" parentId="{5b9704c2-ed8c-4282-a44c-81c3aa629a0b}">
    <x18tc:text xml:space="preserve">Thanks. I think we are just confirming that what is written up is actually happening in practice.</x18tc:text>
  </x18tc:threadedComment>
  <x18tc:threadedComment ref="C36" dT="2026-05-14T02:41:26.00" personId="{40059acb-85b8-4ad1-b94b-38fd4219b14e}" id="{d21f308d-d38d-4c22-bc03-9058fa198338}" parentId="{5b9704c2-ed8c-4282-a44c-81c3aa629a0b}">
    <x18tc:text xml:space="preserve">It could use some buttoning up for sure</x18tc:text>
  </x18tc:threadedComment>
  <x18tc:threadedComment ref="C15" dT="2026-05-04T23:39:52.00" personId="{3bb4d244-f6e9-4834-9eb2-69ecd3aed8df}" id="{a7211276-5ce6-48b4-8a86-5d2062eeb612}" done="1">
    <x18tc:text xml:space="preserve">@zoe.h@millieclinic.com I'm less familiar on this, do we have any data loss prevention controls in place?</x18tc:text>
    <x18tc:mentions>
      <x18tc:mention mentionpersonId="{c75bf430-d0df-4f86-ba66-20868e3c55fe}" mentionId="{868b1fc0-9eb8-4556-b5ed-af79a3e9f4ef}" startIndex="0" length="23"/>
    </x18tc:mentions>
  </x18tc:threadedComment>
  <x18tc:threadedComment ref="C15" dT="2026-05-04T23:46:50.00" personId="{a7a3ac58-40d8-45ce-b155-bfa3f06bff50}" id="{cfddd1af-d36e-4eca-bcab-d796cb71dc7b}" parentId="{a7211276-5ce6-48b4-8a86-5d2062eeb612}">
    <x18tc:text xml:space="preserve">I don't think so... When we did the internal security audit in Q4, we did review some of the AWS settings and improve security there, but we don't have anything ongoing to my knowledge</x18tc:text>
  </x18tc:threadedComment>
  <x18tc:threadedComment ref="C15" dT="2026-05-04T23:46:57.00" personId="{a7a3ac58-40d8-45ce-b155-bfa3f06bff50}" id="{c9e65a40-86f2-4ee7-afb1-9a306c5e6a5d}" parentId="{a7211276-5ce6-48b4-8a86-5d2062eeb612}">
    <x18tc:text xml:space="preserve">@chase.s@millieclinic.com anything on your radar here?</x18tc:text>
    <x18tc:mentions>
      <x18tc:mention mentionpersonId="{d7486678-c15c-4039-9a67-77450db06fd9}" mentionId="{2a191dba-ceb3-4a8d-892a-d7f3f37309fe}" startIndex="0" length="25"/>
    </x18tc:mentions>
  </x18tc:threadedComment>
  <x18tc:threadedComment ref="C15" dT="2026-05-05T14:33:51.00" personId="{9a8f459e-239e-46c7-80cc-a1fc51221fa1}" id="{ec76ae0a-b3de-47e5-838c-7417bf4b0995}" parentId="{a7211276-5ce6-48b4-8a86-5d2062eeb612}">
    <x18tc:text xml:space="preserve">We should look up Databricks and AWS alerts for this and if they run automatically or if we can turn anything on.
Examples would be alerts on new logins for databricks, hex, and AWS, or something, and check into anything else they have avail</x18tc:text>
  </x18tc:threadedComment>
  <x18tc:threadedComment ref="C15" dT="2026-05-05T19:14:08.00" personId="{3bb4d244-f6e9-4834-9eb2-69ecd3aed8df}" id="{b5054587-c35e-428a-9d51-4fd24ee9e3c9}" parentId="{a7211276-5ce6-48b4-8a86-5d2062eeb612}">
    <x18tc:text xml:space="preserve">added a note about fivetran/dbx/hex in the answer box, @zoe.h@millieclinic.com if there's anything similar to add for aws could you? i'm not as familiar there</x18tc:text>
    <x18tc:mentions>
      <x18tc:mention mentionpersonId="{c75bf430-d0df-4f86-ba66-20868e3c55fe}" mentionId="{ed0f3db5-e936-48a4-b4c7-7685fd83f989}" startIndex="55" length="23"/>
    </x18tc:mentions>
  </x18tc:threadedComment>
  <x18tc:threadedComment ref="C15" dT="2026-05-05T21:52:17.00" personId="{a7a3ac58-40d8-45ce-b155-bfa3f06bff50}" id="{f680ba75-ff14-4d8b-9b28-02819a328eb0}" parentId="{a7211276-5ce6-48b4-8a86-5d2062eeb612}">
    <x18tc:text xml:space="preserve">I added Aptible and AWS
1 total reaction
Elysia Su reacted with 🙏 at 2026-05-05 23:36 PM</x18tc:text>
  </x18tc:threadedComment>
  <x18tc:threadedComment ref="B18" dT="2026-05-01T19:18:54.00" personId="{7c405d8f-4dd2-45f8-b97a-37f71af499bf}" id="{10e2e8f2-131c-4371-b243-12f2d4b4ec64}" done="0">
    <x18tc:text xml:space="preserve">@chase.s@millieclinic.com Patricia has tracked this but we will be moving everything to easy llama going forward.</x18tc:text>
    <x18tc:mentions>
      <x18tc:mention mentionpersonId="{d7486678-c15c-4039-9a67-77450db06fd9}" mentionId="{7391ed4e-a509-4c0f-bccf-650b659da0a0}" startIndex="0" length="25"/>
    </x18tc:mentions>
  </x18tc:threadedComment>
  <x18tc:threadedComment ref="B18" dT="2026-05-04T15:10:58.00" personId="{9a8f459e-239e-46c7-80cc-a1fc51221fa1}" id="{b4d4f38f-50df-446e-a560-2339298a72cb}" parentId="{10e2e8f2-131c-4371-b243-12f2d4b4ec64}">
    <x18tc:text xml:space="preserve">@patricia@millieclinic.com where are we tracking previously?</x18tc:text>
    <x18tc:mentions>
      <x18tc:mention mentionpersonId="{7209c1e1-3dc7-43f8-ad40-cee8f3cc30df}" mentionId="{9794887c-9e8c-4972-bb89-7ab998238f4f}" startIndex="0" length="26"/>
    </x18tc:mentions>
  </x18tc:threadedComment>
  <x18tc:threadedComment ref="B18" dT="2026-05-04T15:40:24.00" personId="{a54bfe12-f452-4254-a8e6-675d869cdb15}" id="{af1bf868-b7ad-4b30-bd9a-5c0a46447232}" parentId="{10e2e8f2-131c-4371-b243-12f2d4b4ec64}">
    <x18tc:text xml:space="preserve">Let's discuss in our meeting today</x18tc:text>
  </x18tc:threadedComment>
  <x18tc:threadedComment ref="F17" dT="2026-05-04T16:18:05.00" personId="{7c405d8f-4dd2-45f8-b97a-37f71af499bf}" id="{dbe0b61f-26e9-4578-a080-6ae4498792c6}" done="0">
    <x18tc:text xml:space="preserve">@chase.s@millieclinic.com when they say "exit interviews to cover post-employment HIPAA obligations," are they referring to reminding employees that their confidentiality obligations do not end at termination?</x18tc:text>
    <x18tc:mentions>
      <x18tc:mention mentionpersonId="{d7486678-c15c-4039-9a67-77450db06fd9}" mentionId="{0ee71448-bd0d-4151-b11d-d94d01bbd8fa}" startIndex="0" length="25"/>
    </x18tc:mentions>
  </x18tc:threadedComment>
  <x18tc:threadedComment ref="F17" dT="2026-05-05T14:32:58.00" personId="{9a8f459e-239e-46c7-80cc-a1fc51221fa1}" id="{4533c4b9-5395-4e06-a753-ee821fd77c05}" parentId="{dbe0b61f-26e9-4578-a080-6ae4498792c6}">
    <x18tc:text xml:space="preserve">We can assume that</x18tc:text>
  </x18tc:threadedComment>
  <x18tc:threadedComment ref="F17" dT="2026-05-05T14:34:51.00" personId="{7c405d8f-4dd2-45f8-b97a-37f71af499bf}" id="{3e9667a9-f29a-4218-88a4-c203475cc249}" parentId="{dbe0b61f-26e9-4578-a080-6ae4498792c6}">
    <x18tc:text xml:space="preserve">action item for me is to create a process in off-boarding to remind clinicians of their obligations post employment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vqLerLh1hxa96CoeyhV7TOpb3VDDq0SwVG2nsGo10J8/edit?tab=t.0"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terese.t@millieclinic.com" TargetMode="External"/><Relationship Id="rId9" Type="http://schemas.openxmlformats.org/officeDocument/2006/relationships/vmlDrawing" Target="../drawings/vmlDrawing1.vml"/><Relationship Id="rId5" Type="http://schemas.openxmlformats.org/officeDocument/2006/relationships/hyperlink" Target="mailto:terese.t@millieclinic.com" TargetMode="External"/><Relationship Id="rId6" Type="http://schemas.openxmlformats.org/officeDocument/2006/relationships/hyperlink" Target="mailto:kristin.c@millieclinic.com" TargetMode="External"/><Relationship Id="rId7" Type="http://schemas.openxmlformats.org/officeDocument/2006/relationships/hyperlink" Target="mailto:terese.t@millieclinic.com"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38"/>
    <col customWidth="1" min="2" max="2" width="52.38"/>
    <col customWidth="1" min="3" max="5" width="22.63"/>
    <col customWidth="1" min="6" max="6" width="24.88"/>
    <col customWidth="1" min="7" max="7" width="22.63"/>
  </cols>
  <sheetData>
    <row r="1" ht="22.5" customHeight="1">
      <c r="A1" s="1" t="s">
        <v>0</v>
      </c>
      <c r="B1" s="2" t="s">
        <v>1</v>
      </c>
      <c r="C1" s="2" t="s">
        <v>2</v>
      </c>
      <c r="D1" s="2" t="s">
        <v>3</v>
      </c>
      <c r="E1" s="2" t="s">
        <v>4</v>
      </c>
      <c r="F1" s="2" t="s">
        <v>5</v>
      </c>
      <c r="G1" s="2" t="s">
        <v>6</v>
      </c>
    </row>
    <row r="2" ht="22.5" customHeight="1">
      <c r="A2" s="3" t="s">
        <v>7</v>
      </c>
      <c r="B2" s="4" t="s">
        <v>8</v>
      </c>
      <c r="C2" s="5"/>
      <c r="D2" s="6" t="s">
        <v>9</v>
      </c>
      <c r="E2" s="7" t="s">
        <v>10</v>
      </c>
      <c r="F2" s="8" t="b">
        <v>0</v>
      </c>
      <c r="G2" s="9"/>
    </row>
    <row r="3" ht="22.5" customHeight="1">
      <c r="A3" s="3" t="s">
        <v>11</v>
      </c>
      <c r="B3" s="5"/>
      <c r="C3" s="5"/>
      <c r="D3" s="7"/>
      <c r="E3" s="7" t="s">
        <v>12</v>
      </c>
      <c r="F3" s="8" t="b">
        <v>1</v>
      </c>
      <c r="G3" s="9"/>
    </row>
    <row r="4" ht="22.5" customHeight="1">
      <c r="A4" s="10" t="s">
        <v>13</v>
      </c>
      <c r="B4" s="5"/>
      <c r="C4" s="11" t="s">
        <v>14</v>
      </c>
      <c r="D4" s="7"/>
      <c r="E4" s="7" t="s">
        <v>15</v>
      </c>
      <c r="F4" s="8" t="b">
        <v>0</v>
      </c>
      <c r="G4" s="9"/>
    </row>
    <row r="5" ht="22.5" customHeight="1">
      <c r="A5" s="10" t="s">
        <v>16</v>
      </c>
      <c r="B5" s="5"/>
      <c r="C5" s="5"/>
      <c r="D5" s="7"/>
      <c r="E5" s="7" t="s">
        <v>10</v>
      </c>
      <c r="F5" s="8" t="b">
        <v>0</v>
      </c>
      <c r="G5" s="9"/>
    </row>
    <row r="6" ht="22.5" customHeight="1">
      <c r="A6" s="12" t="s">
        <v>17</v>
      </c>
      <c r="B6" s="5"/>
      <c r="C6" s="5"/>
      <c r="D6" s="7"/>
      <c r="E6" s="7" t="s">
        <v>10</v>
      </c>
      <c r="F6" s="8" t="b">
        <v>0</v>
      </c>
      <c r="G6" s="9"/>
    </row>
    <row r="7" ht="22.5" customHeight="1">
      <c r="A7" s="12" t="s">
        <v>18</v>
      </c>
      <c r="B7" s="5"/>
      <c r="C7" s="5"/>
      <c r="D7" s="7"/>
      <c r="E7" s="7" t="s">
        <v>19</v>
      </c>
      <c r="F7" s="8" t="b">
        <v>1</v>
      </c>
      <c r="G7" s="9"/>
    </row>
    <row r="8" ht="22.5" customHeight="1">
      <c r="A8" s="3" t="s">
        <v>20</v>
      </c>
      <c r="B8" s="5"/>
      <c r="C8" s="5"/>
      <c r="D8" s="7"/>
      <c r="E8" s="7" t="s">
        <v>21</v>
      </c>
      <c r="F8" s="8" t="b">
        <v>0</v>
      </c>
      <c r="G8" s="9"/>
    </row>
    <row r="9" ht="22.5" customHeight="1">
      <c r="A9" s="12" t="s">
        <v>22</v>
      </c>
      <c r="B9" s="5"/>
      <c r="C9" s="5"/>
      <c r="D9" s="7"/>
      <c r="E9" s="7" t="s">
        <v>21</v>
      </c>
      <c r="F9" s="8" t="b">
        <v>0</v>
      </c>
      <c r="G9" s="9"/>
    </row>
    <row r="10" ht="22.5" customHeight="1">
      <c r="A10" s="3" t="s">
        <v>23</v>
      </c>
      <c r="B10" s="5"/>
      <c r="C10" s="5"/>
      <c r="D10" s="7"/>
      <c r="E10" s="7" t="s">
        <v>21</v>
      </c>
      <c r="F10" s="8" t="b">
        <v>0</v>
      </c>
      <c r="G10" s="9"/>
    </row>
    <row r="11" ht="22.5" customHeight="1">
      <c r="A11" s="3" t="s">
        <v>24</v>
      </c>
      <c r="B11" s="5"/>
      <c r="C11" s="5"/>
      <c r="D11" s="7"/>
      <c r="E11" s="7" t="s">
        <v>21</v>
      </c>
      <c r="F11" s="8" t="b">
        <v>0</v>
      </c>
      <c r="G11" s="9"/>
    </row>
    <row r="12" ht="22.5" customHeight="1">
      <c r="A12" s="3" t="s">
        <v>25</v>
      </c>
      <c r="B12" s="5"/>
      <c r="C12" s="5"/>
      <c r="D12" s="7"/>
      <c r="E12" s="7" t="s">
        <v>10</v>
      </c>
      <c r="F12" s="8" t="b">
        <v>0</v>
      </c>
      <c r="G12" s="9"/>
    </row>
    <row r="13" ht="22.5" customHeight="1">
      <c r="A13" s="3" t="s">
        <v>26</v>
      </c>
      <c r="B13" s="5"/>
      <c r="C13" s="5"/>
      <c r="D13" s="7"/>
      <c r="E13" s="7" t="s">
        <v>19</v>
      </c>
      <c r="F13" s="8" t="b">
        <v>1</v>
      </c>
      <c r="G13" s="9"/>
    </row>
    <row r="14" ht="22.5" customHeight="1">
      <c r="A14" s="12" t="s">
        <v>27</v>
      </c>
      <c r="B14" s="5"/>
      <c r="C14" s="5"/>
      <c r="D14" s="5"/>
      <c r="E14" s="5"/>
      <c r="F14" s="8" t="b">
        <v>0</v>
      </c>
      <c r="G14" s="9"/>
    </row>
    <row r="15" ht="22.5" customHeight="1">
      <c r="A15" s="3" t="s">
        <v>28</v>
      </c>
      <c r="B15" s="11" t="s">
        <v>29</v>
      </c>
      <c r="C15" s="5"/>
      <c r="D15" s="7"/>
      <c r="E15" s="7" t="s">
        <v>15</v>
      </c>
      <c r="F15" s="8" t="b">
        <v>0</v>
      </c>
      <c r="G15" s="9"/>
    </row>
    <row r="16" ht="22.5" customHeight="1">
      <c r="A16" s="3" t="s">
        <v>30</v>
      </c>
      <c r="B16" s="5"/>
      <c r="C16" s="5"/>
      <c r="D16" s="5"/>
      <c r="E16" s="5"/>
      <c r="F16" s="8" t="b">
        <v>0</v>
      </c>
      <c r="G16" s="9"/>
    </row>
    <row r="17" ht="22.5" customHeight="1">
      <c r="A17" s="3" t="s">
        <v>31</v>
      </c>
      <c r="B17" s="5"/>
      <c r="C17" s="5"/>
      <c r="D17" s="5"/>
      <c r="E17" s="5"/>
      <c r="F17" s="8" t="b">
        <v>0</v>
      </c>
      <c r="G17" s="9"/>
    </row>
    <row r="18" ht="22.5" customHeight="1">
      <c r="A18" s="3" t="s">
        <v>32</v>
      </c>
      <c r="B18" s="5"/>
      <c r="C18" s="5"/>
      <c r="D18" s="5"/>
      <c r="E18" s="5"/>
      <c r="F18" s="8" t="b">
        <v>0</v>
      </c>
      <c r="G18" s="9"/>
    </row>
    <row r="19" ht="22.5" customHeight="1">
      <c r="A19" s="3" t="s">
        <v>33</v>
      </c>
      <c r="B19" s="5"/>
      <c r="C19" s="5"/>
      <c r="D19" s="5"/>
      <c r="E19" s="5"/>
      <c r="F19" s="8" t="b">
        <v>0</v>
      </c>
      <c r="G19" s="9"/>
    </row>
    <row r="20" ht="22.5" customHeight="1">
      <c r="A20" s="3" t="s">
        <v>34</v>
      </c>
      <c r="B20" s="5"/>
      <c r="C20" s="5"/>
      <c r="D20" s="5"/>
      <c r="E20" s="5"/>
      <c r="F20" s="8" t="b">
        <v>0</v>
      </c>
      <c r="G20" s="9"/>
    </row>
    <row r="21" ht="22.5" customHeight="1">
      <c r="A21" s="3" t="s">
        <v>35</v>
      </c>
      <c r="B21" s="5"/>
      <c r="C21" s="5"/>
      <c r="D21" s="5"/>
      <c r="E21" s="5"/>
      <c r="F21" s="8" t="b">
        <v>0</v>
      </c>
      <c r="G21" s="9"/>
    </row>
    <row r="22" ht="22.5" customHeight="1">
      <c r="A22" s="3" t="s">
        <v>36</v>
      </c>
      <c r="B22" s="5"/>
      <c r="C22" s="5"/>
      <c r="D22" s="5"/>
      <c r="E22" s="5"/>
      <c r="F22" s="8" t="b">
        <v>0</v>
      </c>
      <c r="G22" s="9"/>
    </row>
    <row r="23" ht="22.5" customHeight="1">
      <c r="A23" s="3" t="s">
        <v>37</v>
      </c>
      <c r="B23" s="5"/>
      <c r="C23" s="5"/>
      <c r="D23" s="5"/>
      <c r="E23" s="5"/>
      <c r="F23" s="8" t="b">
        <v>0</v>
      </c>
      <c r="G23" s="9"/>
    </row>
    <row r="24" ht="22.5" customHeight="1">
      <c r="A24" s="13" t="s">
        <v>38</v>
      </c>
      <c r="B24" s="5"/>
      <c r="C24" s="5"/>
      <c r="D24" s="5"/>
      <c r="E24" s="5"/>
      <c r="F24" s="8" t="b">
        <v>0</v>
      </c>
      <c r="G24" s="9"/>
    </row>
    <row r="25" ht="22.5" customHeight="1">
      <c r="A25" s="3" t="s">
        <v>39</v>
      </c>
      <c r="B25" s="5"/>
      <c r="C25" s="5"/>
      <c r="D25" s="5"/>
      <c r="E25" s="5"/>
      <c r="F25" s="8" t="b">
        <v>0</v>
      </c>
      <c r="G25" s="9"/>
    </row>
    <row r="26" ht="22.5" customHeight="1">
      <c r="A26" s="3" t="s">
        <v>40</v>
      </c>
      <c r="B26" s="5"/>
      <c r="C26" s="5"/>
      <c r="D26" s="5"/>
      <c r="E26" s="5"/>
      <c r="F26" s="8" t="b">
        <v>0</v>
      </c>
      <c r="G26" s="9"/>
    </row>
    <row r="27" ht="22.5" customHeight="1">
      <c r="A27" s="3" t="s">
        <v>41</v>
      </c>
      <c r="B27" s="5"/>
      <c r="C27" s="5"/>
      <c r="D27" s="5"/>
      <c r="E27" s="5"/>
      <c r="F27" s="8" t="b">
        <v>0</v>
      </c>
      <c r="G27" s="9"/>
    </row>
    <row r="28" ht="22.5" customHeight="1">
      <c r="A28" s="3" t="s">
        <v>42</v>
      </c>
      <c r="B28" s="5"/>
      <c r="C28" s="5"/>
      <c r="D28" s="5"/>
      <c r="E28" s="5"/>
      <c r="F28" s="8" t="b">
        <v>0</v>
      </c>
      <c r="G28" s="9"/>
    </row>
    <row r="29" ht="22.5" customHeight="1">
      <c r="A29" s="3" t="s">
        <v>43</v>
      </c>
      <c r="B29" s="5"/>
      <c r="C29" s="5"/>
      <c r="D29" s="5"/>
      <c r="E29" s="5"/>
      <c r="F29" s="8" t="b">
        <v>0</v>
      </c>
      <c r="G29" s="9"/>
    </row>
    <row r="30" ht="22.5" customHeight="1">
      <c r="A30" s="3" t="s">
        <v>44</v>
      </c>
      <c r="B30" s="5"/>
      <c r="C30" s="5"/>
      <c r="D30" s="7"/>
      <c r="E30" s="7" t="s">
        <v>45</v>
      </c>
      <c r="F30" s="8" t="b">
        <v>0</v>
      </c>
      <c r="G30" s="9"/>
    </row>
    <row r="31" ht="22.5" customHeight="1">
      <c r="A31" s="3" t="s">
        <v>46</v>
      </c>
      <c r="B31" s="5"/>
      <c r="C31" s="5"/>
      <c r="D31" s="5"/>
      <c r="E31" s="5"/>
      <c r="F31" s="8" t="b">
        <v>0</v>
      </c>
      <c r="G31" s="9"/>
    </row>
    <row r="32" ht="22.5" customHeight="1">
      <c r="A32" s="3" t="s">
        <v>47</v>
      </c>
      <c r="B32" s="5"/>
      <c r="C32" s="5"/>
      <c r="D32" s="5"/>
      <c r="E32" s="5"/>
      <c r="F32" s="8" t="b">
        <v>0</v>
      </c>
      <c r="G32" s="9"/>
    </row>
    <row r="33" ht="22.5" customHeight="1">
      <c r="A33" s="3" t="s">
        <v>48</v>
      </c>
      <c r="B33" s="5"/>
      <c r="C33" s="5"/>
      <c r="D33" s="5"/>
      <c r="E33" s="5"/>
      <c r="F33" s="8" t="b">
        <v>0</v>
      </c>
      <c r="G33" s="9"/>
    </row>
    <row r="34" ht="22.5" customHeight="1">
      <c r="A34" s="3" t="s">
        <v>49</v>
      </c>
      <c r="B34" s="5"/>
      <c r="C34" s="5"/>
      <c r="D34" s="5"/>
      <c r="E34" s="5"/>
      <c r="F34" s="8" t="b">
        <v>0</v>
      </c>
      <c r="G34" s="9"/>
    </row>
    <row r="35" ht="22.5" customHeight="1">
      <c r="A35" s="3" t="s">
        <v>50</v>
      </c>
      <c r="B35" s="5"/>
      <c r="C35" s="5"/>
      <c r="D35" s="5"/>
      <c r="E35" s="5"/>
      <c r="F35" s="8" t="b">
        <v>0</v>
      </c>
      <c r="G35" s="9"/>
    </row>
    <row r="36" ht="22.5" customHeight="1">
      <c r="A36" s="3" t="s">
        <v>51</v>
      </c>
      <c r="B36" s="5"/>
      <c r="C36" s="5"/>
      <c r="D36" s="5"/>
      <c r="E36" s="5"/>
      <c r="F36" s="8" t="b">
        <v>0</v>
      </c>
      <c r="G36" s="9"/>
    </row>
    <row r="37" ht="22.5" customHeight="1">
      <c r="A37" s="3" t="s">
        <v>52</v>
      </c>
      <c r="B37" s="5"/>
      <c r="C37" s="5"/>
      <c r="D37" s="5"/>
      <c r="E37" s="5"/>
      <c r="F37" s="8" t="b">
        <v>0</v>
      </c>
      <c r="G37" s="9"/>
    </row>
    <row r="38" ht="22.5" customHeight="1">
      <c r="A38" s="3" t="s">
        <v>53</v>
      </c>
      <c r="B38" s="5"/>
      <c r="C38" s="5"/>
      <c r="D38" s="5"/>
      <c r="E38" s="5"/>
      <c r="F38" s="8" t="b">
        <v>0</v>
      </c>
      <c r="G38" s="9"/>
    </row>
    <row r="39" ht="22.5" customHeight="1">
      <c r="A39" s="3" t="s">
        <v>54</v>
      </c>
      <c r="B39" s="5"/>
      <c r="C39" s="5"/>
      <c r="D39" s="5"/>
      <c r="E39" s="5"/>
      <c r="F39" s="8" t="b">
        <v>0</v>
      </c>
      <c r="G39" s="9"/>
    </row>
    <row r="40" ht="22.5" customHeight="1">
      <c r="A40" s="3" t="s">
        <v>55</v>
      </c>
      <c r="B40" s="5"/>
      <c r="C40" s="5"/>
      <c r="D40" s="5"/>
      <c r="E40" s="5"/>
      <c r="F40" s="8" t="b">
        <v>0</v>
      </c>
      <c r="G40" s="9"/>
    </row>
    <row r="41" ht="22.5" customHeight="1">
      <c r="A41" s="3"/>
      <c r="B41" s="5"/>
      <c r="C41" s="5"/>
      <c r="D41" s="5"/>
      <c r="E41" s="5"/>
      <c r="F41" s="8" t="b">
        <v>0</v>
      </c>
      <c r="G41" s="9"/>
    </row>
    <row r="42" ht="22.5" customHeight="1">
      <c r="A42" s="3"/>
      <c r="B42" s="5"/>
      <c r="C42" s="5"/>
      <c r="D42" s="5"/>
      <c r="E42" s="5"/>
      <c r="F42" s="8" t="b">
        <v>0</v>
      </c>
      <c r="G42" s="9"/>
    </row>
    <row r="43" ht="22.5" customHeight="1">
      <c r="A43" s="3"/>
      <c r="B43" s="5"/>
      <c r="C43" s="5"/>
      <c r="D43" s="5"/>
      <c r="E43" s="5"/>
      <c r="F43" s="8" t="b">
        <v>0</v>
      </c>
      <c r="G43" s="9"/>
    </row>
    <row r="44" ht="22.5" customHeight="1">
      <c r="A44" s="3"/>
      <c r="B44" s="5"/>
      <c r="C44" s="5"/>
      <c r="D44" s="5"/>
      <c r="E44" s="5"/>
      <c r="F44" s="8" t="b">
        <v>0</v>
      </c>
      <c r="G44" s="9"/>
    </row>
    <row r="45" ht="22.5" customHeight="1">
      <c r="A45" s="3"/>
      <c r="B45" s="5"/>
      <c r="C45" s="5"/>
      <c r="D45" s="5"/>
      <c r="E45" s="5"/>
      <c r="F45" s="8" t="b">
        <v>0</v>
      </c>
      <c r="G45" s="9"/>
    </row>
    <row r="46" ht="22.5" customHeight="1">
      <c r="A46" s="3"/>
      <c r="B46" s="5"/>
      <c r="C46" s="5"/>
      <c r="D46" s="5"/>
      <c r="E46" s="5"/>
      <c r="F46" s="8" t="b">
        <v>0</v>
      </c>
      <c r="G46" s="9"/>
    </row>
    <row r="47" ht="22.5" customHeight="1">
      <c r="A47" s="3"/>
      <c r="B47" s="5"/>
      <c r="C47" s="5"/>
      <c r="D47" s="5"/>
      <c r="E47" s="5"/>
      <c r="F47" s="8" t="b">
        <v>0</v>
      </c>
      <c r="G47" s="9"/>
    </row>
    <row r="48" ht="22.5" customHeight="1">
      <c r="A48" s="3"/>
      <c r="B48" s="5"/>
      <c r="C48" s="5"/>
      <c r="D48" s="5"/>
      <c r="E48" s="5"/>
      <c r="F48" s="8" t="b">
        <v>0</v>
      </c>
      <c r="G48" s="9"/>
    </row>
    <row r="49" ht="22.5" customHeight="1">
      <c r="A49" s="3"/>
      <c r="B49" s="5"/>
      <c r="C49" s="5"/>
      <c r="D49" s="5"/>
      <c r="E49" s="5"/>
      <c r="F49" s="8" t="b">
        <v>0</v>
      </c>
      <c r="G49" s="9"/>
    </row>
    <row r="50" ht="22.5" customHeight="1">
      <c r="A50" s="3"/>
      <c r="B50" s="5"/>
      <c r="C50" s="5"/>
      <c r="D50" s="5"/>
      <c r="E50" s="5"/>
      <c r="F50" s="8" t="b">
        <v>0</v>
      </c>
      <c r="G50" s="9"/>
    </row>
    <row r="51" ht="22.5" customHeight="1">
      <c r="A51" s="3"/>
      <c r="B51" s="5"/>
      <c r="C51" s="5"/>
      <c r="D51" s="5"/>
      <c r="E51" s="5"/>
      <c r="F51" s="8" t="b">
        <v>0</v>
      </c>
      <c r="G51" s="9"/>
    </row>
    <row r="52" ht="22.5" customHeight="1">
      <c r="A52" s="3"/>
      <c r="B52" s="5"/>
      <c r="C52" s="5"/>
      <c r="D52" s="5"/>
      <c r="E52" s="5"/>
      <c r="F52" s="8" t="b">
        <v>0</v>
      </c>
      <c r="G52" s="9"/>
    </row>
    <row r="53" ht="22.5" customHeight="1">
      <c r="A53" s="3"/>
      <c r="B53" s="5"/>
      <c r="C53" s="5"/>
      <c r="D53" s="5"/>
      <c r="E53" s="5"/>
      <c r="F53" s="8" t="b">
        <v>0</v>
      </c>
      <c r="G53" s="9"/>
    </row>
    <row r="54" ht="22.5" customHeight="1">
      <c r="A54" s="3"/>
      <c r="B54" s="5"/>
      <c r="C54" s="5"/>
      <c r="D54" s="5"/>
      <c r="E54" s="5"/>
      <c r="F54" s="8" t="b">
        <v>0</v>
      </c>
      <c r="G54" s="9"/>
    </row>
    <row r="55" ht="22.5" customHeight="1">
      <c r="A55" s="3"/>
      <c r="B55" s="5"/>
      <c r="C55" s="5"/>
      <c r="D55" s="5"/>
      <c r="E55" s="5"/>
      <c r="F55" s="8" t="b">
        <v>0</v>
      </c>
      <c r="G55" s="9"/>
    </row>
    <row r="56" ht="22.5" customHeight="1">
      <c r="A56" s="3"/>
      <c r="B56" s="5"/>
      <c r="C56" s="5"/>
      <c r="D56" s="5"/>
      <c r="E56" s="5"/>
      <c r="F56" s="8" t="b">
        <v>0</v>
      </c>
      <c r="G56" s="9"/>
    </row>
    <row r="57" ht="22.5" customHeight="1">
      <c r="A57" s="3"/>
      <c r="B57" s="5"/>
      <c r="C57" s="5"/>
      <c r="D57" s="5"/>
      <c r="E57" s="5"/>
      <c r="F57" s="8" t="b">
        <v>0</v>
      </c>
      <c r="G57" s="9"/>
    </row>
    <row r="58" ht="22.5" customHeight="1">
      <c r="A58" s="3"/>
      <c r="B58" s="5"/>
      <c r="C58" s="5"/>
      <c r="D58" s="5"/>
      <c r="E58" s="5"/>
      <c r="F58" s="8" t="b">
        <v>0</v>
      </c>
      <c r="G58" s="9"/>
    </row>
    <row r="59" ht="22.5" customHeight="1">
      <c r="A59" s="3"/>
      <c r="B59" s="5"/>
      <c r="C59" s="5"/>
      <c r="D59" s="5"/>
      <c r="E59" s="5"/>
      <c r="F59" s="8" t="b">
        <v>0</v>
      </c>
      <c r="G59" s="9"/>
    </row>
    <row r="60" ht="22.5" customHeight="1">
      <c r="A60" s="3"/>
      <c r="B60" s="5"/>
      <c r="C60" s="5"/>
      <c r="D60" s="5"/>
      <c r="E60" s="5"/>
      <c r="F60" s="8" t="b">
        <v>0</v>
      </c>
      <c r="G60" s="9"/>
    </row>
    <row r="61" ht="22.5" customHeight="1">
      <c r="A61" s="3"/>
      <c r="B61" s="5"/>
      <c r="C61" s="5"/>
      <c r="D61" s="5"/>
      <c r="E61" s="5"/>
      <c r="F61" s="8" t="b">
        <v>0</v>
      </c>
      <c r="G61" s="9"/>
    </row>
    <row r="62" ht="22.5" customHeight="1">
      <c r="A62" s="3"/>
      <c r="B62" s="5"/>
      <c r="C62" s="5"/>
      <c r="D62" s="5"/>
      <c r="E62" s="5"/>
      <c r="F62" s="8" t="b">
        <v>0</v>
      </c>
      <c r="G62" s="9"/>
    </row>
    <row r="63" ht="22.5" customHeight="1">
      <c r="A63" s="3"/>
      <c r="B63" s="5"/>
      <c r="C63" s="5"/>
      <c r="D63" s="5"/>
      <c r="E63" s="5"/>
      <c r="F63" s="8" t="b">
        <v>0</v>
      </c>
      <c r="G63" s="9"/>
    </row>
    <row r="64" ht="22.5" customHeight="1">
      <c r="A64" s="3"/>
      <c r="B64" s="5"/>
      <c r="C64" s="5"/>
      <c r="D64" s="5"/>
      <c r="E64" s="5"/>
      <c r="F64" s="8" t="b">
        <v>0</v>
      </c>
      <c r="G64" s="9"/>
    </row>
    <row r="65" ht="22.5" customHeight="1">
      <c r="A65" s="3"/>
      <c r="B65" s="5"/>
      <c r="C65" s="5"/>
      <c r="D65" s="5"/>
      <c r="E65" s="5"/>
      <c r="F65" s="8" t="b">
        <v>0</v>
      </c>
      <c r="G65" s="9"/>
    </row>
    <row r="66" ht="22.5" customHeight="1">
      <c r="A66" s="3"/>
      <c r="B66" s="5"/>
      <c r="C66" s="5"/>
      <c r="D66" s="5"/>
      <c r="E66" s="5"/>
      <c r="F66" s="8" t="b">
        <v>0</v>
      </c>
      <c r="G66" s="9"/>
    </row>
    <row r="67" ht="22.5" customHeight="1">
      <c r="A67" s="3"/>
      <c r="B67" s="5"/>
      <c r="C67" s="5"/>
      <c r="D67" s="5"/>
      <c r="E67" s="5"/>
      <c r="F67" s="8" t="b">
        <v>0</v>
      </c>
      <c r="G67" s="9"/>
    </row>
    <row r="68" ht="22.5" customHeight="1">
      <c r="A68" s="3"/>
      <c r="B68" s="5"/>
      <c r="C68" s="5"/>
      <c r="D68" s="5"/>
      <c r="E68" s="5"/>
      <c r="F68" s="8" t="b">
        <v>0</v>
      </c>
      <c r="G68" s="9"/>
    </row>
    <row r="69" ht="22.5" customHeight="1">
      <c r="A69" s="3"/>
      <c r="B69" s="5"/>
      <c r="C69" s="5"/>
      <c r="D69" s="5"/>
      <c r="E69" s="5"/>
      <c r="F69" s="8" t="b">
        <v>0</v>
      </c>
      <c r="G69" s="9"/>
    </row>
    <row r="70" ht="22.5" customHeight="1">
      <c r="A70" s="3"/>
      <c r="B70" s="5"/>
      <c r="C70" s="5"/>
      <c r="D70" s="5"/>
      <c r="E70" s="5"/>
      <c r="F70" s="8" t="b">
        <v>0</v>
      </c>
      <c r="G70" s="9"/>
    </row>
    <row r="71" ht="22.5" customHeight="1">
      <c r="A71" s="3"/>
      <c r="B71" s="5"/>
      <c r="C71" s="5"/>
      <c r="D71" s="5"/>
      <c r="E71" s="5"/>
      <c r="F71" s="8" t="b">
        <v>0</v>
      </c>
      <c r="G71" s="9"/>
    </row>
    <row r="72" ht="22.5" customHeight="1">
      <c r="A72" s="3"/>
      <c r="B72" s="5"/>
      <c r="C72" s="5"/>
      <c r="D72" s="5"/>
      <c r="E72" s="5"/>
      <c r="F72" s="8" t="b">
        <v>0</v>
      </c>
      <c r="G72" s="9"/>
    </row>
    <row r="73" ht="22.5" customHeight="1">
      <c r="A73" s="3"/>
      <c r="B73" s="5"/>
      <c r="C73" s="5"/>
      <c r="D73" s="5"/>
      <c r="E73" s="5"/>
      <c r="F73" s="8" t="b">
        <v>0</v>
      </c>
      <c r="G73" s="9"/>
    </row>
    <row r="74" ht="22.5" customHeight="1">
      <c r="A74" s="3"/>
      <c r="B74" s="5"/>
      <c r="C74" s="5"/>
      <c r="D74" s="5"/>
      <c r="E74" s="5"/>
      <c r="F74" s="8" t="b">
        <v>0</v>
      </c>
      <c r="G74" s="9"/>
    </row>
    <row r="75" ht="22.5" customHeight="1">
      <c r="A75" s="3"/>
      <c r="B75" s="5"/>
      <c r="C75" s="5"/>
      <c r="D75" s="5"/>
      <c r="E75" s="5"/>
      <c r="F75" s="8" t="b">
        <v>0</v>
      </c>
      <c r="G75" s="9"/>
    </row>
    <row r="76" ht="22.5" customHeight="1">
      <c r="A76" s="3"/>
      <c r="B76" s="5"/>
      <c r="C76" s="5"/>
      <c r="D76" s="5"/>
      <c r="E76" s="5"/>
      <c r="F76" s="8" t="b">
        <v>0</v>
      </c>
      <c r="G76" s="9"/>
    </row>
    <row r="77" ht="22.5" customHeight="1">
      <c r="A77" s="3"/>
      <c r="B77" s="5"/>
      <c r="C77" s="5"/>
      <c r="D77" s="5"/>
      <c r="E77" s="5"/>
      <c r="F77" s="8" t="b">
        <v>0</v>
      </c>
      <c r="G77" s="9"/>
    </row>
    <row r="78" ht="22.5" customHeight="1">
      <c r="A78" s="3"/>
      <c r="B78" s="5"/>
      <c r="C78" s="5"/>
      <c r="D78" s="5"/>
      <c r="E78" s="5"/>
      <c r="F78" s="8" t="b">
        <v>0</v>
      </c>
      <c r="G78" s="9"/>
    </row>
    <row r="79" ht="22.5" customHeight="1">
      <c r="A79" s="3"/>
      <c r="B79" s="5"/>
      <c r="C79" s="5"/>
      <c r="D79" s="5"/>
      <c r="E79" s="5"/>
      <c r="F79" s="8" t="b">
        <v>0</v>
      </c>
      <c r="G79" s="9"/>
    </row>
    <row r="80" ht="22.5" customHeight="1">
      <c r="A80" s="3"/>
      <c r="B80" s="5"/>
      <c r="C80" s="5"/>
      <c r="D80" s="5"/>
      <c r="E80" s="5"/>
      <c r="F80" s="8" t="b">
        <v>0</v>
      </c>
      <c r="G80" s="9"/>
    </row>
    <row r="81" ht="22.5" customHeight="1">
      <c r="A81" s="3"/>
      <c r="B81" s="5"/>
      <c r="C81" s="5"/>
      <c r="D81" s="5"/>
      <c r="E81" s="5"/>
      <c r="F81" s="8" t="b">
        <v>0</v>
      </c>
      <c r="G81" s="9"/>
    </row>
    <row r="82" ht="22.5" customHeight="1">
      <c r="A82" s="3"/>
      <c r="B82" s="5"/>
      <c r="C82" s="5"/>
      <c r="D82" s="5"/>
      <c r="E82" s="5"/>
      <c r="F82" s="8" t="b">
        <v>0</v>
      </c>
      <c r="G82" s="9"/>
    </row>
    <row r="83" ht="22.5" customHeight="1">
      <c r="A83" s="3"/>
      <c r="B83" s="5"/>
      <c r="C83" s="5"/>
      <c r="D83" s="5"/>
      <c r="E83" s="5"/>
      <c r="F83" s="8" t="b">
        <v>0</v>
      </c>
      <c r="G83" s="9"/>
    </row>
    <row r="84" ht="22.5" customHeight="1">
      <c r="A84" s="3"/>
      <c r="B84" s="5"/>
      <c r="C84" s="5"/>
      <c r="D84" s="5"/>
      <c r="E84" s="5"/>
      <c r="F84" s="8" t="b">
        <v>0</v>
      </c>
      <c r="G84" s="9"/>
    </row>
    <row r="85" ht="22.5" customHeight="1">
      <c r="A85" s="3"/>
      <c r="B85" s="5"/>
      <c r="C85" s="5"/>
      <c r="D85" s="5"/>
      <c r="E85" s="5"/>
      <c r="F85" s="8" t="b">
        <v>0</v>
      </c>
      <c r="G85" s="9"/>
    </row>
    <row r="86" ht="22.5" customHeight="1">
      <c r="A86" s="3"/>
      <c r="B86" s="5"/>
      <c r="C86" s="5"/>
      <c r="D86" s="5"/>
      <c r="E86" s="5"/>
      <c r="F86" s="8" t="b">
        <v>0</v>
      </c>
      <c r="G86" s="9"/>
    </row>
    <row r="87" ht="22.5" customHeight="1">
      <c r="A87" s="3"/>
      <c r="B87" s="5"/>
      <c r="C87" s="5"/>
      <c r="D87" s="5"/>
      <c r="E87" s="5"/>
      <c r="F87" s="8" t="b">
        <v>0</v>
      </c>
      <c r="G87" s="9"/>
    </row>
    <row r="88" ht="22.5" customHeight="1">
      <c r="A88" s="3"/>
      <c r="B88" s="5"/>
      <c r="C88" s="5"/>
      <c r="D88" s="5"/>
      <c r="E88" s="5"/>
      <c r="F88" s="8" t="b">
        <v>0</v>
      </c>
      <c r="G88" s="9"/>
    </row>
    <row r="89" ht="22.5" customHeight="1">
      <c r="A89" s="3"/>
      <c r="B89" s="5"/>
      <c r="C89" s="5"/>
      <c r="D89" s="5"/>
      <c r="E89" s="5"/>
      <c r="F89" s="8" t="b">
        <v>0</v>
      </c>
      <c r="G89" s="9"/>
    </row>
    <row r="90" ht="22.5" customHeight="1">
      <c r="A90" s="3"/>
      <c r="B90" s="5"/>
      <c r="C90" s="5"/>
      <c r="D90" s="5"/>
      <c r="E90" s="5"/>
      <c r="F90" s="8" t="b">
        <v>0</v>
      </c>
      <c r="G90" s="9"/>
    </row>
    <row r="91" ht="22.5" customHeight="1">
      <c r="A91" s="3"/>
      <c r="B91" s="5"/>
      <c r="C91" s="5"/>
      <c r="D91" s="5"/>
      <c r="E91" s="5"/>
      <c r="F91" s="8" t="b">
        <v>0</v>
      </c>
      <c r="G91" s="9"/>
    </row>
    <row r="92" ht="22.5" customHeight="1">
      <c r="A92" s="3"/>
      <c r="B92" s="5"/>
      <c r="C92" s="5"/>
      <c r="D92" s="5"/>
      <c r="E92" s="5"/>
      <c r="F92" s="8" t="b">
        <v>0</v>
      </c>
      <c r="G92" s="9"/>
    </row>
    <row r="93" ht="22.5" customHeight="1">
      <c r="A93" s="3"/>
      <c r="B93" s="5"/>
      <c r="C93" s="5"/>
      <c r="D93" s="5"/>
      <c r="E93" s="5"/>
      <c r="F93" s="8" t="b">
        <v>0</v>
      </c>
      <c r="G93" s="9"/>
    </row>
    <row r="94" ht="22.5" customHeight="1">
      <c r="A94" s="3"/>
      <c r="B94" s="5"/>
      <c r="C94" s="5"/>
      <c r="D94" s="5"/>
      <c r="E94" s="5"/>
      <c r="F94" s="8" t="b">
        <v>0</v>
      </c>
      <c r="G94" s="9"/>
    </row>
    <row r="95" ht="22.5" customHeight="1">
      <c r="A95" s="3"/>
      <c r="B95" s="5"/>
      <c r="C95" s="5"/>
      <c r="D95" s="5"/>
      <c r="E95" s="5"/>
      <c r="F95" s="8" t="b">
        <v>0</v>
      </c>
      <c r="G95" s="9"/>
    </row>
    <row r="96" ht="22.5" customHeight="1">
      <c r="A96" s="3"/>
      <c r="B96" s="5"/>
      <c r="C96" s="5"/>
      <c r="D96" s="5"/>
      <c r="E96" s="5"/>
      <c r="F96" s="8" t="b">
        <v>0</v>
      </c>
      <c r="G96" s="9"/>
    </row>
    <row r="97" ht="22.5" customHeight="1">
      <c r="A97" s="3"/>
      <c r="B97" s="5"/>
      <c r="C97" s="5"/>
      <c r="D97" s="5"/>
      <c r="E97" s="5"/>
      <c r="F97" s="8" t="b">
        <v>0</v>
      </c>
      <c r="G97" s="9"/>
    </row>
    <row r="98" ht="22.5" customHeight="1">
      <c r="A98" s="3"/>
      <c r="B98" s="5"/>
      <c r="C98" s="5"/>
      <c r="D98" s="5"/>
      <c r="E98" s="5"/>
      <c r="F98" s="8" t="b">
        <v>0</v>
      </c>
      <c r="G98" s="9"/>
    </row>
    <row r="99" ht="22.5" customHeight="1">
      <c r="A99" s="3"/>
      <c r="B99" s="5"/>
      <c r="C99" s="5"/>
      <c r="D99" s="5"/>
      <c r="E99" s="5"/>
      <c r="F99" s="8" t="b">
        <v>0</v>
      </c>
      <c r="G99" s="9"/>
    </row>
    <row r="100" ht="22.5" customHeight="1">
      <c r="A100" s="3"/>
      <c r="B100" s="5"/>
      <c r="C100" s="5"/>
      <c r="D100" s="5"/>
      <c r="E100" s="5"/>
      <c r="F100" s="8" t="b">
        <v>0</v>
      </c>
      <c r="G100" s="9"/>
    </row>
    <row r="101" ht="22.5" customHeight="1">
      <c r="A101" s="3"/>
      <c r="B101" s="5"/>
      <c r="C101" s="5"/>
      <c r="D101" s="5"/>
      <c r="E101" s="5"/>
      <c r="F101" s="8" t="b">
        <v>0</v>
      </c>
      <c r="G101" s="9"/>
    </row>
    <row r="102" ht="22.5" customHeight="1">
      <c r="A102" s="3"/>
      <c r="B102" s="5"/>
      <c r="C102" s="5"/>
      <c r="D102" s="5"/>
      <c r="E102" s="5"/>
      <c r="F102" s="8" t="b">
        <v>0</v>
      </c>
      <c r="G102" s="9"/>
    </row>
    <row r="103" ht="22.5" customHeight="1">
      <c r="A103" s="3"/>
      <c r="B103" s="5"/>
      <c r="C103" s="5"/>
      <c r="D103" s="5"/>
      <c r="E103" s="5"/>
      <c r="F103" s="8" t="b">
        <v>0</v>
      </c>
      <c r="G103" s="9"/>
    </row>
    <row r="104" ht="22.5" customHeight="1">
      <c r="A104" s="3"/>
      <c r="B104" s="5"/>
      <c r="C104" s="5"/>
      <c r="D104" s="5"/>
      <c r="E104" s="5"/>
      <c r="F104" s="8" t="b">
        <v>0</v>
      </c>
      <c r="G104" s="9"/>
    </row>
    <row r="105" ht="22.5" customHeight="1">
      <c r="A105" s="3"/>
      <c r="B105" s="5"/>
      <c r="C105" s="5"/>
      <c r="D105" s="5"/>
      <c r="E105" s="5"/>
      <c r="F105" s="8" t="b">
        <v>0</v>
      </c>
      <c r="G105" s="9"/>
    </row>
    <row r="106" ht="22.5" customHeight="1">
      <c r="A106" s="3"/>
      <c r="B106" s="5"/>
      <c r="C106" s="5"/>
      <c r="D106" s="5"/>
      <c r="E106" s="5"/>
      <c r="F106" s="8" t="b">
        <v>0</v>
      </c>
      <c r="G106" s="9"/>
    </row>
    <row r="107" ht="22.5" customHeight="1">
      <c r="A107" s="3"/>
      <c r="B107" s="5"/>
      <c r="C107" s="5"/>
      <c r="D107" s="5"/>
      <c r="E107" s="5"/>
      <c r="F107" s="8" t="b">
        <v>0</v>
      </c>
      <c r="G107" s="9"/>
    </row>
    <row r="108" ht="22.5" customHeight="1">
      <c r="A108" s="3"/>
      <c r="B108" s="5"/>
      <c r="C108" s="5"/>
      <c r="D108" s="5"/>
      <c r="E108" s="5"/>
      <c r="F108" s="8" t="b">
        <v>0</v>
      </c>
      <c r="G108" s="9"/>
    </row>
    <row r="109" ht="22.5" customHeight="1">
      <c r="A109" s="3"/>
      <c r="B109" s="5"/>
      <c r="C109" s="5"/>
      <c r="D109" s="5"/>
      <c r="E109" s="5"/>
      <c r="F109" s="8" t="b">
        <v>0</v>
      </c>
      <c r="G109" s="9"/>
    </row>
    <row r="110" ht="22.5" customHeight="1">
      <c r="A110" s="3"/>
      <c r="B110" s="5"/>
      <c r="C110" s="5"/>
      <c r="D110" s="5"/>
      <c r="E110" s="5"/>
      <c r="F110" s="8" t="b">
        <v>0</v>
      </c>
      <c r="G110" s="9"/>
    </row>
    <row r="111" ht="22.5" customHeight="1">
      <c r="A111" s="3"/>
      <c r="B111" s="5"/>
      <c r="C111" s="5"/>
      <c r="D111" s="5"/>
      <c r="E111" s="5"/>
      <c r="F111" s="8" t="b">
        <v>0</v>
      </c>
      <c r="G111" s="9"/>
    </row>
    <row r="112" ht="22.5" customHeight="1">
      <c r="A112" s="3"/>
      <c r="B112" s="5"/>
      <c r="C112" s="5"/>
      <c r="D112" s="5"/>
      <c r="E112" s="5"/>
      <c r="F112" s="8" t="b">
        <v>0</v>
      </c>
      <c r="G112" s="9"/>
    </row>
    <row r="113" ht="22.5" customHeight="1">
      <c r="A113" s="3"/>
      <c r="B113" s="5"/>
      <c r="C113" s="5"/>
      <c r="D113" s="5"/>
      <c r="E113" s="5"/>
      <c r="F113" s="8" t="b">
        <v>0</v>
      </c>
      <c r="G113" s="9"/>
    </row>
    <row r="114" ht="22.5" customHeight="1">
      <c r="A114" s="3"/>
      <c r="B114" s="5"/>
      <c r="C114" s="5"/>
      <c r="D114" s="5"/>
      <c r="E114" s="5"/>
      <c r="F114" s="8" t="b">
        <v>0</v>
      </c>
      <c r="G114" s="9"/>
    </row>
    <row r="115" ht="22.5" customHeight="1">
      <c r="A115" s="3"/>
      <c r="B115" s="5"/>
      <c r="C115" s="5"/>
      <c r="D115" s="5"/>
      <c r="E115" s="5"/>
      <c r="F115" s="8" t="b">
        <v>0</v>
      </c>
      <c r="G115" s="9"/>
    </row>
  </sheetData>
  <dataValidations>
    <dataValidation type="list" allowBlank="1" sqref="G2:G115">
      <formula1>"Option 1,Option 2"</formula1>
    </dataValidation>
  </dataValidations>
  <hyperlinks>
    <hyperlink r:id="rId1" ref="D2"/>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26.0"/>
    <col customWidth="1" min="2" max="2" width="90.0"/>
    <col customWidth="1" min="3" max="26" width="8.63"/>
  </cols>
  <sheetData>
    <row r="1">
      <c r="A1" s="14" t="s">
        <v>56</v>
      </c>
      <c r="B1" s="14"/>
    </row>
    <row r="2">
      <c r="A2" s="15"/>
      <c r="B2" s="15"/>
    </row>
    <row r="3">
      <c r="A3" s="16" t="s">
        <v>57</v>
      </c>
      <c r="B3" s="16" t="s">
        <v>58</v>
      </c>
    </row>
    <row r="4">
      <c r="A4" s="15" t="s">
        <v>59</v>
      </c>
      <c r="B4" s="15">
        <f>COUNTA('AI - Categorized Questions'!A2:A40)</f>
        <v>39</v>
      </c>
    </row>
    <row r="5">
      <c r="A5" s="15" t="s">
        <v>60</v>
      </c>
      <c r="B5" s="15">
        <f>COUNTIF(#REF!,"Affirmative")</f>
        <v>0</v>
      </c>
    </row>
    <row r="6">
      <c r="A6" s="15" t="s">
        <v>61</v>
      </c>
      <c r="B6" s="15">
        <f>COUNTIF(#REF!,"Assume No / Need artifact")</f>
        <v>0</v>
      </c>
    </row>
    <row r="7">
      <c r="A7" s="15" t="s">
        <v>62</v>
      </c>
      <c r="B7" s="15" t="s">
        <v>63</v>
      </c>
    </row>
    <row r="8">
      <c r="A8" s="15"/>
      <c r="B8" s="15"/>
    </row>
    <row r="9">
      <c r="A9" s="16" t="s">
        <v>64</v>
      </c>
      <c r="B9" s="16" t="s">
        <v>65</v>
      </c>
    </row>
    <row r="10">
      <c r="A10" s="15" t="s">
        <v>66</v>
      </c>
      <c r="B10" s="15" t="s">
        <v>67</v>
      </c>
    </row>
    <row r="11">
      <c r="A11" s="15" t="s">
        <v>68</v>
      </c>
      <c r="B11" s="15" t="s">
        <v>69</v>
      </c>
    </row>
    <row r="12">
      <c r="A12" s="15"/>
      <c r="B12" s="15"/>
    </row>
    <row r="13">
      <c r="A13" s="16" t="s">
        <v>70</v>
      </c>
      <c r="B13" s="16"/>
    </row>
    <row r="14">
      <c r="A14" s="15" t="s">
        <v>66</v>
      </c>
      <c r="B14" s="15" t="s">
        <v>71</v>
      </c>
    </row>
    <row r="15">
      <c r="A15" s="15" t="s">
        <v>61</v>
      </c>
      <c r="B15" s="15" t="s">
        <v>72</v>
      </c>
    </row>
    <row r="16">
      <c r="A16" s="15" t="s">
        <v>73</v>
      </c>
      <c r="B16" s="15" t="s">
        <v>74</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hidden="1" min="1" max="1" width="9.63"/>
    <col customWidth="1" min="2" max="2" width="23.75"/>
    <col customWidth="1" min="3" max="3" width="56.63"/>
    <col customWidth="1" min="4" max="4" width="22.0"/>
    <col customWidth="1" min="5" max="5" width="19.38"/>
    <col customWidth="1" min="6" max="6" width="70.0"/>
    <col customWidth="1" min="7" max="7" width="32.88"/>
    <col customWidth="1" min="8" max="8" width="49.63"/>
    <col customWidth="1" min="9" max="9" width="45.0"/>
    <col customWidth="1" min="10" max="10" width="38.0"/>
    <col customWidth="1" min="11" max="26" width="8.63"/>
  </cols>
  <sheetData>
    <row r="1" ht="39.75" customHeight="1">
      <c r="A1" s="17" t="s">
        <v>75</v>
      </c>
      <c r="B1" s="17" t="s">
        <v>4</v>
      </c>
      <c r="C1" s="17" t="s">
        <v>0</v>
      </c>
      <c r="D1" s="17" t="s">
        <v>76</v>
      </c>
      <c r="E1" s="18" t="s">
        <v>77</v>
      </c>
      <c r="F1" s="17" t="s">
        <v>78</v>
      </c>
      <c r="G1" s="18" t="s">
        <v>79</v>
      </c>
      <c r="H1" s="17" t="s">
        <v>80</v>
      </c>
      <c r="I1" s="17" t="s">
        <v>81</v>
      </c>
      <c r="J1" s="17" t="s">
        <v>82</v>
      </c>
    </row>
    <row r="2" ht="97.5" customHeight="1">
      <c r="A2" s="19">
        <v>1.0</v>
      </c>
      <c r="B2" s="20" t="s">
        <v>83</v>
      </c>
      <c r="C2" s="19" t="s">
        <v>7</v>
      </c>
      <c r="D2" s="21" t="s">
        <v>84</v>
      </c>
      <c r="E2" s="19" t="b">
        <v>0</v>
      </c>
      <c r="F2" s="19" t="s">
        <v>85</v>
      </c>
      <c r="G2" s="22" t="s">
        <v>86</v>
      </c>
      <c r="H2" s="19" t="s">
        <v>87</v>
      </c>
      <c r="I2" s="19"/>
      <c r="J2" s="19" t="s">
        <v>88</v>
      </c>
    </row>
    <row r="3" ht="72.0" customHeight="1">
      <c r="A3" s="23">
        <v>2.0</v>
      </c>
      <c r="B3" s="23" t="s">
        <v>12</v>
      </c>
      <c r="C3" s="24" t="s">
        <v>11</v>
      </c>
      <c r="D3" s="24" t="s">
        <v>84</v>
      </c>
      <c r="E3" s="24"/>
      <c r="F3" s="24" t="s">
        <v>89</v>
      </c>
      <c r="G3" s="23"/>
      <c r="H3" s="23" t="s">
        <v>90</v>
      </c>
      <c r="I3" s="23" t="s">
        <v>91</v>
      </c>
      <c r="J3" s="23" t="s">
        <v>92</v>
      </c>
      <c r="K3" s="25"/>
      <c r="L3" s="25"/>
      <c r="M3" s="25"/>
      <c r="N3" s="25"/>
      <c r="O3" s="25"/>
      <c r="P3" s="25"/>
      <c r="Q3" s="25"/>
      <c r="R3" s="25"/>
      <c r="S3" s="25"/>
      <c r="T3" s="25"/>
      <c r="U3" s="25"/>
      <c r="V3" s="25"/>
      <c r="W3" s="25"/>
      <c r="X3" s="25"/>
      <c r="Y3" s="25"/>
      <c r="Z3" s="25"/>
    </row>
    <row r="4" ht="72.0" customHeight="1">
      <c r="A4" s="23">
        <v>3.0</v>
      </c>
      <c r="B4" s="23" t="s">
        <v>15</v>
      </c>
      <c r="C4" s="23" t="s">
        <v>13</v>
      </c>
      <c r="D4" s="24" t="s">
        <v>84</v>
      </c>
      <c r="E4" s="23"/>
      <c r="F4" s="23" t="s">
        <v>93</v>
      </c>
      <c r="G4" s="23" t="s">
        <v>14</v>
      </c>
      <c r="H4" s="23" t="s">
        <v>94</v>
      </c>
      <c r="I4" s="23" t="s">
        <v>95</v>
      </c>
      <c r="J4" s="23" t="s">
        <v>96</v>
      </c>
      <c r="K4" s="25"/>
      <c r="L4" s="25"/>
      <c r="M4" s="25"/>
      <c r="N4" s="25"/>
      <c r="O4" s="25"/>
      <c r="P4" s="25"/>
      <c r="Q4" s="25"/>
      <c r="R4" s="25"/>
      <c r="S4" s="25"/>
      <c r="T4" s="25"/>
      <c r="U4" s="25"/>
      <c r="V4" s="25"/>
      <c r="W4" s="25"/>
      <c r="X4" s="25"/>
      <c r="Y4" s="25"/>
      <c r="Z4" s="25"/>
    </row>
    <row r="5" ht="72.0" customHeight="1">
      <c r="A5" s="26">
        <v>4.0</v>
      </c>
      <c r="B5" s="27" t="s">
        <v>10</v>
      </c>
      <c r="C5" s="26" t="s">
        <v>16</v>
      </c>
      <c r="D5" s="28" t="s">
        <v>84</v>
      </c>
      <c r="E5" s="26" t="b">
        <v>0</v>
      </c>
      <c r="F5" s="26" t="s">
        <v>97</v>
      </c>
      <c r="G5" s="26"/>
      <c r="H5" s="26" t="s">
        <v>98</v>
      </c>
      <c r="I5" s="26"/>
      <c r="J5" s="26"/>
    </row>
    <row r="6" ht="82.5" customHeight="1">
      <c r="A6" s="19">
        <v>5.0</v>
      </c>
      <c r="B6" s="20" t="s">
        <v>83</v>
      </c>
      <c r="C6" s="19" t="s">
        <v>17</v>
      </c>
      <c r="D6" s="21" t="s">
        <v>84</v>
      </c>
      <c r="E6" s="19" t="b">
        <v>0</v>
      </c>
      <c r="F6" s="19" t="s">
        <v>99</v>
      </c>
      <c r="G6" s="22" t="s">
        <v>100</v>
      </c>
      <c r="H6" s="19" t="s">
        <v>101</v>
      </c>
      <c r="I6" s="19" t="s">
        <v>102</v>
      </c>
      <c r="J6" s="19" t="s">
        <v>103</v>
      </c>
    </row>
    <row r="7" ht="90.0" customHeight="1">
      <c r="A7" s="26">
        <v>11.0</v>
      </c>
      <c r="B7" s="29" t="s">
        <v>10</v>
      </c>
      <c r="C7" s="26" t="s">
        <v>25</v>
      </c>
      <c r="D7" s="28" t="s">
        <v>84</v>
      </c>
      <c r="E7" s="26" t="b">
        <v>0</v>
      </c>
      <c r="F7" s="26" t="s">
        <v>104</v>
      </c>
      <c r="G7" s="28" t="s">
        <v>105</v>
      </c>
      <c r="H7" s="26" t="s">
        <v>106</v>
      </c>
      <c r="I7" s="26" t="s">
        <v>107</v>
      </c>
      <c r="J7" s="26" t="s">
        <v>108</v>
      </c>
    </row>
    <row r="8" ht="72.0" customHeight="1">
      <c r="A8" s="19">
        <v>17.0</v>
      </c>
      <c r="B8" s="20" t="s">
        <v>10</v>
      </c>
      <c r="C8" s="19" t="s">
        <v>32</v>
      </c>
      <c r="D8" s="21" t="s">
        <v>84</v>
      </c>
      <c r="E8" s="19" t="b">
        <v>0</v>
      </c>
      <c r="F8" s="19" t="s">
        <v>109</v>
      </c>
      <c r="G8" s="19"/>
      <c r="H8" s="19" t="s">
        <v>110</v>
      </c>
      <c r="I8" s="19" t="s">
        <v>111</v>
      </c>
      <c r="J8" s="19" t="s">
        <v>112</v>
      </c>
    </row>
    <row r="9" ht="72.0" customHeight="1">
      <c r="A9" s="26">
        <v>20.0</v>
      </c>
      <c r="B9" s="29" t="s">
        <v>10</v>
      </c>
      <c r="C9" s="26" t="s">
        <v>35</v>
      </c>
      <c r="D9" s="28" t="s">
        <v>84</v>
      </c>
      <c r="E9" s="26" t="b">
        <v>0</v>
      </c>
      <c r="F9" s="26" t="s">
        <v>113</v>
      </c>
      <c r="G9" s="26"/>
      <c r="H9" s="26" t="s">
        <v>114</v>
      </c>
      <c r="I9" s="26"/>
      <c r="J9" s="26"/>
    </row>
    <row r="10" ht="72.0" customHeight="1">
      <c r="A10" s="19">
        <v>34.0</v>
      </c>
      <c r="B10" s="20" t="s">
        <v>10</v>
      </c>
      <c r="C10" s="19" t="s">
        <v>50</v>
      </c>
      <c r="D10" s="21" t="s">
        <v>84</v>
      </c>
      <c r="E10" s="19" t="b">
        <v>0</v>
      </c>
      <c r="F10" s="19" t="s">
        <v>115</v>
      </c>
      <c r="G10" s="19"/>
      <c r="H10" s="19" t="s">
        <v>116</v>
      </c>
      <c r="I10" s="19" t="s">
        <v>117</v>
      </c>
      <c r="J10" s="19" t="s">
        <v>118</v>
      </c>
    </row>
    <row r="11" ht="72.0" customHeight="1">
      <c r="A11" s="26">
        <v>37.0</v>
      </c>
      <c r="B11" s="29" t="s">
        <v>10</v>
      </c>
      <c r="C11" s="26" t="s">
        <v>53</v>
      </c>
      <c r="D11" s="28" t="s">
        <v>84</v>
      </c>
      <c r="E11" s="26" t="b">
        <v>0</v>
      </c>
      <c r="F11" s="26" t="s">
        <v>119</v>
      </c>
      <c r="G11" s="26"/>
      <c r="H11" s="26" t="s">
        <v>116</v>
      </c>
      <c r="I11" s="26"/>
      <c r="J11" s="26"/>
    </row>
    <row r="12" ht="72.0" customHeight="1">
      <c r="A12" s="19">
        <v>38.0</v>
      </c>
      <c r="B12" s="20" t="s">
        <v>10</v>
      </c>
      <c r="C12" s="19" t="s">
        <v>54</v>
      </c>
      <c r="D12" s="21" t="s">
        <v>84</v>
      </c>
      <c r="E12" s="19" t="b">
        <v>0</v>
      </c>
      <c r="F12" s="19" t="s">
        <v>120</v>
      </c>
      <c r="G12" s="19"/>
      <c r="H12" s="19" t="s">
        <v>121</v>
      </c>
      <c r="I12" s="19"/>
      <c r="J12" s="19"/>
    </row>
    <row r="13" ht="72.0" customHeight="1">
      <c r="A13" s="26">
        <v>39.0</v>
      </c>
      <c r="B13" s="29" t="s">
        <v>10</v>
      </c>
      <c r="C13" s="26" t="s">
        <v>55</v>
      </c>
      <c r="D13" s="28" t="s">
        <v>84</v>
      </c>
      <c r="E13" s="26" t="b">
        <v>0</v>
      </c>
      <c r="F13" s="26" t="s">
        <v>122</v>
      </c>
      <c r="G13" s="26"/>
      <c r="H13" s="26" t="s">
        <v>121</v>
      </c>
      <c r="I13" s="26"/>
      <c r="J13" s="26"/>
    </row>
    <row r="14" ht="72.0" customHeight="1">
      <c r="A14" s="19">
        <v>33.0</v>
      </c>
      <c r="B14" s="20" t="s">
        <v>123</v>
      </c>
      <c r="C14" s="19" t="s">
        <v>49</v>
      </c>
      <c r="D14" s="21" t="s">
        <v>84</v>
      </c>
      <c r="E14" s="19" t="b">
        <v>0</v>
      </c>
      <c r="F14" s="19" t="s">
        <v>124</v>
      </c>
      <c r="G14" s="19"/>
      <c r="H14" s="19" t="s">
        <v>116</v>
      </c>
      <c r="I14" s="19"/>
      <c r="J14" s="19"/>
    </row>
    <row r="15" ht="72.0" customHeight="1">
      <c r="A15" s="26">
        <v>22.0</v>
      </c>
      <c r="B15" s="29" t="s">
        <v>125</v>
      </c>
      <c r="C15" s="26" t="s">
        <v>37</v>
      </c>
      <c r="D15" s="28" t="s">
        <v>84</v>
      </c>
      <c r="E15" s="26" t="b">
        <v>0</v>
      </c>
      <c r="F15" s="28" t="s">
        <v>126</v>
      </c>
      <c r="G15" s="26"/>
      <c r="H15" s="26" t="s">
        <v>127</v>
      </c>
      <c r="I15" s="26" t="s">
        <v>128</v>
      </c>
      <c r="J15" s="26" t="s">
        <v>129</v>
      </c>
    </row>
    <row r="16" ht="72.0" customHeight="1">
      <c r="A16" s="19">
        <v>32.0</v>
      </c>
      <c r="B16" s="20" t="s">
        <v>125</v>
      </c>
      <c r="C16" s="19" t="s">
        <v>48</v>
      </c>
      <c r="D16" s="21" t="s">
        <v>84</v>
      </c>
      <c r="E16" s="19" t="b">
        <v>0</v>
      </c>
      <c r="F16" s="19" t="s">
        <v>130</v>
      </c>
      <c r="G16" s="19"/>
      <c r="H16" s="19" t="s">
        <v>131</v>
      </c>
      <c r="I16" s="19" t="s">
        <v>132</v>
      </c>
      <c r="J16" s="19" t="s">
        <v>133</v>
      </c>
    </row>
    <row r="17" ht="72.0" customHeight="1">
      <c r="A17" s="26">
        <v>29.0</v>
      </c>
      <c r="B17" s="29" t="s">
        <v>134</v>
      </c>
      <c r="C17" s="26" t="s">
        <v>44</v>
      </c>
      <c r="D17" s="28" t="s">
        <v>84</v>
      </c>
      <c r="E17" s="30" t="b">
        <v>0</v>
      </c>
      <c r="F17" s="26" t="s">
        <v>135</v>
      </c>
      <c r="G17" s="31" t="s">
        <v>136</v>
      </c>
      <c r="H17" s="26" t="s">
        <v>127</v>
      </c>
      <c r="I17" s="26" t="s">
        <v>137</v>
      </c>
      <c r="J17" s="26" t="s">
        <v>138</v>
      </c>
    </row>
    <row r="18" ht="72.0" customHeight="1">
      <c r="A18" s="19">
        <v>16.0</v>
      </c>
      <c r="B18" s="20" t="s">
        <v>139</v>
      </c>
      <c r="C18" s="19" t="s">
        <v>31</v>
      </c>
      <c r="D18" s="21" t="s">
        <v>84</v>
      </c>
      <c r="E18" s="19" t="b">
        <v>0</v>
      </c>
      <c r="F18" s="19" t="s">
        <v>140</v>
      </c>
      <c r="G18" s="19"/>
      <c r="H18" s="19" t="s">
        <v>141</v>
      </c>
      <c r="I18" s="19" t="s">
        <v>142</v>
      </c>
      <c r="J18" s="19" t="s">
        <v>143</v>
      </c>
    </row>
    <row r="19" ht="72.0" customHeight="1">
      <c r="A19" s="26">
        <v>30.0</v>
      </c>
      <c r="B19" s="29" t="s">
        <v>144</v>
      </c>
      <c r="C19" s="26" t="s">
        <v>46</v>
      </c>
      <c r="D19" s="28" t="s">
        <v>84</v>
      </c>
      <c r="E19" s="26" t="b">
        <v>0</v>
      </c>
      <c r="F19" s="26" t="s">
        <v>145</v>
      </c>
      <c r="G19" s="26"/>
      <c r="H19" s="26" t="s">
        <v>146</v>
      </c>
      <c r="I19" s="26" t="s">
        <v>147</v>
      </c>
      <c r="J19" s="26" t="s">
        <v>148</v>
      </c>
    </row>
    <row r="20" ht="72.0" customHeight="1">
      <c r="A20" s="19">
        <v>7.0</v>
      </c>
      <c r="B20" s="20" t="s">
        <v>21</v>
      </c>
      <c r="C20" s="19" t="s">
        <v>20</v>
      </c>
      <c r="D20" s="21" t="s">
        <v>84</v>
      </c>
      <c r="E20" s="19" t="b">
        <v>0</v>
      </c>
      <c r="F20" s="21" t="s">
        <v>149</v>
      </c>
      <c r="G20" s="19"/>
      <c r="H20" s="19" t="s">
        <v>106</v>
      </c>
      <c r="I20" s="19" t="s">
        <v>150</v>
      </c>
      <c r="J20" s="21" t="s">
        <v>149</v>
      </c>
    </row>
    <row r="21" ht="72.0" customHeight="1">
      <c r="A21" s="26">
        <v>8.0</v>
      </c>
      <c r="B21" s="29" t="s">
        <v>21</v>
      </c>
      <c r="C21" s="26" t="s">
        <v>22</v>
      </c>
      <c r="D21" s="28" t="s">
        <v>84</v>
      </c>
      <c r="E21" s="26" t="b">
        <v>0</v>
      </c>
      <c r="F21" s="28" t="s">
        <v>151</v>
      </c>
      <c r="G21" s="26"/>
      <c r="H21" s="26" t="s">
        <v>106</v>
      </c>
      <c r="I21" s="26" t="s">
        <v>152</v>
      </c>
      <c r="J21" s="28" t="s">
        <v>151</v>
      </c>
    </row>
    <row r="22" ht="72.0" customHeight="1">
      <c r="A22" s="19">
        <v>9.0</v>
      </c>
      <c r="B22" s="20" t="s">
        <v>21</v>
      </c>
      <c r="C22" s="19" t="s">
        <v>23</v>
      </c>
      <c r="D22" s="21" t="s">
        <v>84</v>
      </c>
      <c r="E22" s="32" t="b">
        <v>1</v>
      </c>
      <c r="F22" s="19" t="s">
        <v>153</v>
      </c>
      <c r="G22" s="21"/>
      <c r="H22" s="19" t="s">
        <v>106</v>
      </c>
      <c r="I22" s="19" t="s">
        <v>154</v>
      </c>
      <c r="J22" s="19" t="s">
        <v>155</v>
      </c>
    </row>
    <row r="23" ht="72.0" customHeight="1">
      <c r="A23" s="26">
        <v>10.0</v>
      </c>
      <c r="B23" s="29" t="s">
        <v>21</v>
      </c>
      <c r="C23" s="26" t="s">
        <v>24</v>
      </c>
      <c r="D23" s="28" t="s">
        <v>84</v>
      </c>
      <c r="E23" s="26" t="b">
        <v>0</v>
      </c>
      <c r="F23" s="26" t="s">
        <v>156</v>
      </c>
      <c r="G23" s="26"/>
      <c r="H23" s="26" t="s">
        <v>157</v>
      </c>
      <c r="I23" s="26"/>
      <c r="J23" s="28" t="s">
        <v>158</v>
      </c>
    </row>
    <row r="24" ht="72.0" customHeight="1">
      <c r="A24" s="19">
        <v>13.0</v>
      </c>
      <c r="B24" s="20" t="s">
        <v>21</v>
      </c>
      <c r="C24" s="19" t="s">
        <v>27</v>
      </c>
      <c r="D24" s="21" t="s">
        <v>84</v>
      </c>
      <c r="E24" s="19" t="b">
        <v>0</v>
      </c>
      <c r="F24" s="21" t="s">
        <v>159</v>
      </c>
      <c r="G24" s="19"/>
      <c r="H24" s="19" t="s">
        <v>160</v>
      </c>
      <c r="I24" s="19"/>
      <c r="J24" s="21" t="s">
        <v>159</v>
      </c>
    </row>
    <row r="25" ht="72.0" customHeight="1">
      <c r="A25" s="26">
        <v>15.0</v>
      </c>
      <c r="B25" s="29" t="s">
        <v>21</v>
      </c>
      <c r="C25" s="26" t="s">
        <v>30</v>
      </c>
      <c r="D25" s="28" t="s">
        <v>84</v>
      </c>
      <c r="E25" s="26" t="b">
        <v>0</v>
      </c>
      <c r="F25" s="28" t="s">
        <v>161</v>
      </c>
      <c r="G25" s="26"/>
      <c r="H25" s="26" t="s">
        <v>127</v>
      </c>
      <c r="I25" s="26" t="s">
        <v>162</v>
      </c>
      <c r="J25" s="28" t="s">
        <v>161</v>
      </c>
    </row>
    <row r="26" ht="72.0" customHeight="1">
      <c r="A26" s="19">
        <v>21.0</v>
      </c>
      <c r="B26" s="20" t="s">
        <v>21</v>
      </c>
      <c r="C26" s="19" t="s">
        <v>36</v>
      </c>
      <c r="D26" s="21" t="s">
        <v>84</v>
      </c>
      <c r="E26" s="32" t="b">
        <v>0</v>
      </c>
      <c r="F26" s="19" t="s">
        <v>163</v>
      </c>
      <c r="G26" s="19"/>
      <c r="H26" s="19" t="s">
        <v>164</v>
      </c>
      <c r="I26" s="19" t="s">
        <v>165</v>
      </c>
      <c r="J26" s="19" t="s">
        <v>166</v>
      </c>
    </row>
    <row r="27" ht="72.0" customHeight="1">
      <c r="A27" s="26">
        <v>23.0</v>
      </c>
      <c r="B27" s="29" t="s">
        <v>21</v>
      </c>
      <c r="C27" s="26" t="s">
        <v>38</v>
      </c>
      <c r="D27" s="28" t="s">
        <v>84</v>
      </c>
      <c r="E27" s="26" t="b">
        <v>0</v>
      </c>
      <c r="F27" s="28" t="s">
        <v>167</v>
      </c>
      <c r="G27" s="26"/>
      <c r="H27" s="26" t="s">
        <v>168</v>
      </c>
      <c r="I27" s="26" t="s">
        <v>169</v>
      </c>
      <c r="J27" s="28" t="s">
        <v>167</v>
      </c>
    </row>
    <row r="28" ht="72.0" customHeight="1">
      <c r="A28" s="19">
        <v>24.0</v>
      </c>
      <c r="B28" s="20" t="s">
        <v>21</v>
      </c>
      <c r="C28" s="19" t="s">
        <v>39</v>
      </c>
      <c r="D28" s="21" t="s">
        <v>84</v>
      </c>
      <c r="E28" s="32" t="b">
        <v>1</v>
      </c>
      <c r="F28" s="19" t="s">
        <v>170</v>
      </c>
      <c r="G28" s="19"/>
      <c r="H28" s="19" t="s">
        <v>171</v>
      </c>
      <c r="I28" s="19" t="s">
        <v>172</v>
      </c>
      <c r="J28" s="21" t="s">
        <v>173</v>
      </c>
    </row>
    <row r="29" ht="72.0" customHeight="1">
      <c r="A29" s="26">
        <v>25.0</v>
      </c>
      <c r="B29" s="29" t="s">
        <v>21</v>
      </c>
      <c r="C29" s="26" t="s">
        <v>40</v>
      </c>
      <c r="D29" s="28" t="s">
        <v>84</v>
      </c>
      <c r="E29" s="30" t="b">
        <v>1</v>
      </c>
      <c r="F29" s="26" t="s">
        <v>174</v>
      </c>
      <c r="G29" s="26"/>
      <c r="H29" s="26" t="s">
        <v>171</v>
      </c>
      <c r="I29" s="26" t="s">
        <v>175</v>
      </c>
      <c r="J29" s="26" t="s">
        <v>176</v>
      </c>
    </row>
    <row r="30" ht="72.0" customHeight="1">
      <c r="A30" s="19">
        <v>26.0</v>
      </c>
      <c r="B30" s="20" t="s">
        <v>21</v>
      </c>
      <c r="C30" s="19" t="s">
        <v>41</v>
      </c>
      <c r="D30" s="21" t="s">
        <v>84</v>
      </c>
      <c r="E30" s="19" t="b">
        <v>0</v>
      </c>
      <c r="F30" s="19" t="s">
        <v>177</v>
      </c>
      <c r="G30" s="19"/>
      <c r="H30" s="19" t="s">
        <v>121</v>
      </c>
      <c r="I30" s="19" t="s">
        <v>178</v>
      </c>
      <c r="J30" s="21" t="s">
        <v>179</v>
      </c>
    </row>
    <row r="31" ht="72.0" customHeight="1">
      <c r="A31" s="26">
        <v>27.0</v>
      </c>
      <c r="B31" s="29" t="s">
        <v>180</v>
      </c>
      <c r="C31" s="26" t="s">
        <v>42</v>
      </c>
      <c r="D31" s="28" t="s">
        <v>84</v>
      </c>
      <c r="E31" s="26" t="b">
        <v>0</v>
      </c>
      <c r="F31" s="26" t="s">
        <v>181</v>
      </c>
      <c r="G31" s="33" t="s">
        <v>182</v>
      </c>
      <c r="H31" s="26" t="s">
        <v>183</v>
      </c>
      <c r="I31" s="26"/>
      <c r="J31" s="26"/>
    </row>
    <row r="32" ht="72.0" customHeight="1">
      <c r="A32" s="19">
        <v>31.0</v>
      </c>
      <c r="B32" s="20" t="s">
        <v>21</v>
      </c>
      <c r="C32" s="19" t="s">
        <v>47</v>
      </c>
      <c r="D32" s="21" t="s">
        <v>84</v>
      </c>
      <c r="E32" s="19" t="b">
        <v>0</v>
      </c>
      <c r="F32" s="19" t="s">
        <v>184</v>
      </c>
      <c r="G32" s="19"/>
      <c r="H32" s="19" t="s">
        <v>185</v>
      </c>
      <c r="I32" s="19"/>
      <c r="J32" s="19"/>
    </row>
    <row r="33" ht="72.0" customHeight="1">
      <c r="A33" s="26">
        <v>35.0</v>
      </c>
      <c r="B33" s="29" t="s">
        <v>21</v>
      </c>
      <c r="C33" s="26" t="s">
        <v>51</v>
      </c>
      <c r="D33" s="28" t="s">
        <v>84</v>
      </c>
      <c r="E33" s="26" t="b">
        <v>0</v>
      </c>
      <c r="F33" s="26" t="s">
        <v>186</v>
      </c>
      <c r="G33" s="26"/>
      <c r="H33" s="26" t="s">
        <v>160</v>
      </c>
      <c r="I33" s="26" t="s">
        <v>162</v>
      </c>
      <c r="J33" s="26" t="s">
        <v>187</v>
      </c>
    </row>
    <row r="34" ht="72.0" customHeight="1">
      <c r="A34" s="19">
        <v>6.0</v>
      </c>
      <c r="B34" s="20" t="s">
        <v>188</v>
      </c>
      <c r="C34" s="19" t="s">
        <v>18</v>
      </c>
      <c r="D34" s="21" t="s">
        <v>84</v>
      </c>
      <c r="E34" s="32" t="b">
        <v>0</v>
      </c>
      <c r="F34" s="19"/>
      <c r="G34" s="19"/>
      <c r="H34" s="19" t="s">
        <v>189</v>
      </c>
      <c r="I34" s="19"/>
      <c r="J34" s="19"/>
    </row>
    <row r="35" ht="72.0" customHeight="1">
      <c r="A35" s="26">
        <v>12.0</v>
      </c>
      <c r="B35" s="29" t="s">
        <v>188</v>
      </c>
      <c r="C35" s="26" t="s">
        <v>26</v>
      </c>
      <c r="D35" s="28" t="s">
        <v>84</v>
      </c>
      <c r="E35" s="26" t="b">
        <v>0</v>
      </c>
      <c r="F35" s="26"/>
      <c r="G35" s="26"/>
      <c r="H35" s="26" t="s">
        <v>190</v>
      </c>
      <c r="I35" s="26"/>
      <c r="J35" s="26"/>
    </row>
    <row r="36" ht="72.0" customHeight="1">
      <c r="A36" s="19">
        <v>19.0</v>
      </c>
      <c r="B36" s="20" t="s">
        <v>188</v>
      </c>
      <c r="C36" s="19" t="s">
        <v>34</v>
      </c>
      <c r="D36" s="21" t="s">
        <v>84</v>
      </c>
      <c r="E36" s="19" t="b">
        <v>0</v>
      </c>
      <c r="F36" s="19"/>
      <c r="G36" s="19"/>
      <c r="H36" s="19" t="s">
        <v>183</v>
      </c>
      <c r="I36" s="19"/>
      <c r="J36" s="19"/>
    </row>
    <row r="37" ht="72.0" customHeight="1">
      <c r="A37" s="26">
        <v>28.0</v>
      </c>
      <c r="B37" s="29" t="s">
        <v>188</v>
      </c>
      <c r="C37" s="28" t="s">
        <v>43</v>
      </c>
      <c r="D37" s="28" t="s">
        <v>84</v>
      </c>
      <c r="E37" s="26" t="b">
        <v>0</v>
      </c>
      <c r="F37" s="26" t="s">
        <v>191</v>
      </c>
      <c r="G37" s="26"/>
      <c r="H37" s="26" t="s">
        <v>121</v>
      </c>
      <c r="I37" s="26"/>
      <c r="J37" s="26"/>
    </row>
    <row r="38" ht="72.0" customHeight="1">
      <c r="A38" s="19">
        <v>36.0</v>
      </c>
      <c r="B38" s="20" t="s">
        <v>188</v>
      </c>
      <c r="C38" s="21" t="s">
        <v>192</v>
      </c>
      <c r="D38" s="21" t="s">
        <v>84</v>
      </c>
      <c r="E38" s="19" t="b">
        <v>0</v>
      </c>
      <c r="F38" s="19" t="s">
        <v>193</v>
      </c>
      <c r="G38" s="19"/>
      <c r="H38" s="19" t="s">
        <v>194</v>
      </c>
      <c r="I38" s="19" t="s">
        <v>195</v>
      </c>
      <c r="J38" s="19" t="s">
        <v>196</v>
      </c>
    </row>
    <row r="39" ht="59.25" customHeight="1">
      <c r="A39" s="26">
        <v>14.0</v>
      </c>
      <c r="B39" s="29" t="s">
        <v>15</v>
      </c>
      <c r="C39" s="26" t="s">
        <v>28</v>
      </c>
      <c r="D39" s="28" t="s">
        <v>84</v>
      </c>
      <c r="E39" s="26" t="b">
        <v>0</v>
      </c>
      <c r="F39" s="28" t="s">
        <v>197</v>
      </c>
      <c r="G39" s="26" t="s">
        <v>29</v>
      </c>
      <c r="H39" s="26" t="s">
        <v>198</v>
      </c>
      <c r="I39" s="28" t="s">
        <v>199</v>
      </c>
      <c r="J39" s="26"/>
    </row>
    <row r="40" ht="72.0" customHeight="1">
      <c r="A40" s="19">
        <v>18.0</v>
      </c>
      <c r="B40" s="20" t="s">
        <v>15</v>
      </c>
      <c r="C40" s="19" t="s">
        <v>33</v>
      </c>
      <c r="D40" s="21" t="s">
        <v>84</v>
      </c>
      <c r="E40" s="19" t="b">
        <v>0</v>
      </c>
      <c r="F40" s="21" t="s">
        <v>200</v>
      </c>
      <c r="G40" s="21" t="s">
        <v>201</v>
      </c>
      <c r="H40" s="19" t="s">
        <v>202</v>
      </c>
      <c r="I40" s="21" t="s">
        <v>203</v>
      </c>
      <c r="J40" s="19"/>
    </row>
  </sheetData>
  <autoFilter ref="$A$1:$J$40">
    <sortState ref="A1:J40">
      <sortCondition ref="B1:B40"/>
    </sortState>
  </autoFilter>
  <conditionalFormatting sqref="D2:D40">
    <cfRule type="containsText" dxfId="5" priority="1" operator="containsText" text="caveat">
      <formula>NOT(ISERROR(SEARCH(("caveat"),(D2))))</formula>
    </cfRule>
  </conditionalFormatting>
  <conditionalFormatting sqref="D2:D40">
    <cfRule type="containsText" dxfId="5" priority="2" operator="containsText" text="Partial">
      <formula>NOT(ISERROR(SEARCH(("Partial"),(D2))))</formula>
    </cfRule>
  </conditionalFormatting>
  <conditionalFormatting sqref="D1:D40">
    <cfRule type="cellIs" dxfId="6" priority="3" operator="equal">
      <formula>"Complete"</formula>
    </cfRule>
  </conditionalFormatting>
  <conditionalFormatting sqref="E1:E40">
    <cfRule type="cellIs" dxfId="7" priority="4" operator="equal">
      <formula>"True"</formula>
    </cfRule>
  </conditionalFormatting>
  <conditionalFormatting sqref="D1:D40">
    <cfRule type="cellIs" dxfId="7" priority="5" operator="equal">
      <formula>"BLOCKED"</formula>
    </cfRule>
  </conditionalFormatting>
  <dataValidations>
    <dataValidation type="list" allowBlank="1" showErrorMessage="1" sqref="B2 B5:B40">
      <formula1>"Chase,Tenisi,Patricia,Terese,Kristin,Anu,Zoe,Elysia"</formula1>
    </dataValidation>
  </dataValidations>
  <hyperlinks>
    <hyperlink r:id="rId4" ref="G2"/>
    <hyperlink r:id="rId5" ref="G6"/>
    <hyperlink r:id="rId6" ref="G17"/>
    <hyperlink r:id="rId7" ref="G31"/>
  </hyperlinks>
  <printOptions/>
  <pageMargins bottom="0.75" footer="0.0" header="0.0" left="0.7" right="0.7" top="0.75"/>
  <pageSetup orientation="landscape"/>
  <drawing r:id="rId8"/>
  <legacy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42.0"/>
    <col customWidth="1" min="2" max="2" width="16.0"/>
    <col customWidth="1" min="3" max="3" width="24.0"/>
    <col customWidth="1" min="4" max="4" width="50.0"/>
    <col customWidth="1" min="5" max="5" width="70.0"/>
    <col customWidth="1" min="6" max="6" width="12.0"/>
    <col customWidth="1" min="7" max="26" width="8.63"/>
  </cols>
  <sheetData>
    <row r="1" ht="27.75" customHeight="1">
      <c r="A1" s="34" t="s">
        <v>204</v>
      </c>
      <c r="B1" s="34" t="s">
        <v>65</v>
      </c>
      <c r="C1" s="34" t="s">
        <v>205</v>
      </c>
      <c r="D1" s="34" t="s">
        <v>206</v>
      </c>
      <c r="E1" s="34" t="s">
        <v>207</v>
      </c>
      <c r="F1" s="34" t="s">
        <v>208</v>
      </c>
    </row>
    <row r="2" ht="72.0" customHeight="1">
      <c r="A2" s="35" t="s">
        <v>96</v>
      </c>
      <c r="B2" s="35" t="s">
        <v>209</v>
      </c>
      <c r="C2" s="35" t="s">
        <v>15</v>
      </c>
      <c r="D2" s="35" t="s">
        <v>95</v>
      </c>
      <c r="E2" s="35" t="s">
        <v>210</v>
      </c>
      <c r="F2" s="35" t="s">
        <v>211</v>
      </c>
    </row>
    <row r="3" ht="72.0" customHeight="1">
      <c r="A3" s="35" t="s">
        <v>212</v>
      </c>
      <c r="B3" s="35" t="s">
        <v>213</v>
      </c>
      <c r="C3" s="35" t="s">
        <v>21</v>
      </c>
      <c r="D3" s="35" t="s">
        <v>150</v>
      </c>
      <c r="E3" s="35" t="s">
        <v>214</v>
      </c>
      <c r="F3" s="35" t="s">
        <v>215</v>
      </c>
    </row>
    <row r="4" ht="72.0" customHeight="1">
      <c r="A4" s="35" t="s">
        <v>216</v>
      </c>
      <c r="B4" s="35" t="s">
        <v>217</v>
      </c>
      <c r="C4" s="35" t="s">
        <v>21</v>
      </c>
      <c r="D4" s="35" t="s">
        <v>152</v>
      </c>
      <c r="E4" s="35" t="s">
        <v>218</v>
      </c>
      <c r="F4" s="35" t="s">
        <v>215</v>
      </c>
    </row>
    <row r="5" ht="72.0" customHeight="1">
      <c r="A5" s="35" t="s">
        <v>155</v>
      </c>
      <c r="B5" s="35" t="s">
        <v>219</v>
      </c>
      <c r="C5" s="35" t="s">
        <v>21</v>
      </c>
      <c r="D5" s="35" t="s">
        <v>154</v>
      </c>
      <c r="E5" s="35" t="s">
        <v>220</v>
      </c>
      <c r="F5" s="35" t="s">
        <v>215</v>
      </c>
    </row>
    <row r="6" ht="72.0" customHeight="1">
      <c r="A6" s="35" t="s">
        <v>108</v>
      </c>
      <c r="B6" s="35" t="s">
        <v>221</v>
      </c>
      <c r="C6" s="35" t="s">
        <v>10</v>
      </c>
      <c r="D6" s="35" t="s">
        <v>107</v>
      </c>
      <c r="E6" s="35" t="s">
        <v>222</v>
      </c>
      <c r="F6" s="35" t="s">
        <v>211</v>
      </c>
    </row>
    <row r="7" ht="72.0" customHeight="1">
      <c r="A7" s="35" t="s">
        <v>223</v>
      </c>
      <c r="B7" s="35" t="s">
        <v>224</v>
      </c>
      <c r="C7" s="35" t="s">
        <v>225</v>
      </c>
      <c r="D7" s="35" t="s">
        <v>162</v>
      </c>
      <c r="E7" s="35" t="s">
        <v>226</v>
      </c>
      <c r="F7" s="35" t="s">
        <v>215</v>
      </c>
    </row>
    <row r="8" ht="72.0" customHeight="1">
      <c r="A8" s="35" t="s">
        <v>143</v>
      </c>
      <c r="B8" s="35" t="s">
        <v>227</v>
      </c>
      <c r="C8" s="35" t="s">
        <v>225</v>
      </c>
      <c r="D8" s="35" t="s">
        <v>142</v>
      </c>
      <c r="E8" s="35" t="s">
        <v>228</v>
      </c>
      <c r="F8" s="35" t="s">
        <v>211</v>
      </c>
    </row>
    <row r="9" ht="72.0" customHeight="1">
      <c r="A9" s="35" t="s">
        <v>112</v>
      </c>
      <c r="B9" s="35" t="s">
        <v>229</v>
      </c>
      <c r="C9" s="35" t="s">
        <v>225</v>
      </c>
      <c r="D9" s="35" t="s">
        <v>111</v>
      </c>
      <c r="E9" s="35" t="s">
        <v>230</v>
      </c>
      <c r="F9" s="35" t="s">
        <v>215</v>
      </c>
    </row>
    <row r="10" ht="72.0" customHeight="1">
      <c r="A10" s="35" t="s">
        <v>129</v>
      </c>
      <c r="B10" s="35" t="s">
        <v>231</v>
      </c>
      <c r="C10" s="35" t="s">
        <v>225</v>
      </c>
      <c r="D10" s="35" t="s">
        <v>128</v>
      </c>
      <c r="E10" s="35" t="s">
        <v>232</v>
      </c>
      <c r="F10" s="35" t="s">
        <v>215</v>
      </c>
    </row>
    <row r="11" ht="72.0" customHeight="1">
      <c r="A11" s="35" t="s">
        <v>233</v>
      </c>
      <c r="B11" s="35" t="s">
        <v>234</v>
      </c>
      <c r="C11" s="35" t="s">
        <v>225</v>
      </c>
      <c r="D11" s="35" t="s">
        <v>169</v>
      </c>
      <c r="E11" s="35" t="s">
        <v>235</v>
      </c>
      <c r="F11" s="35" t="s">
        <v>215</v>
      </c>
    </row>
    <row r="12" ht="72.0" customHeight="1">
      <c r="A12" s="35" t="s">
        <v>236</v>
      </c>
      <c r="B12" s="35" t="s">
        <v>237</v>
      </c>
      <c r="C12" s="35" t="s">
        <v>225</v>
      </c>
      <c r="D12" s="35" t="s">
        <v>172</v>
      </c>
      <c r="E12" s="35" t="s">
        <v>238</v>
      </c>
      <c r="F12" s="35" t="s">
        <v>215</v>
      </c>
    </row>
    <row r="13" ht="72.0" customHeight="1">
      <c r="A13" s="35" t="s">
        <v>176</v>
      </c>
      <c r="B13" s="35" t="s">
        <v>239</v>
      </c>
      <c r="C13" s="35" t="s">
        <v>225</v>
      </c>
      <c r="D13" s="35" t="s">
        <v>175</v>
      </c>
      <c r="E13" s="35" t="s">
        <v>240</v>
      </c>
      <c r="F13" s="35" t="s">
        <v>215</v>
      </c>
    </row>
    <row r="14" ht="72.0" customHeight="1">
      <c r="A14" s="35" t="s">
        <v>138</v>
      </c>
      <c r="B14" s="35" t="s">
        <v>241</v>
      </c>
      <c r="C14" s="35" t="s">
        <v>45</v>
      </c>
      <c r="D14" s="35" t="s">
        <v>137</v>
      </c>
      <c r="E14" s="35" t="s">
        <v>242</v>
      </c>
      <c r="F14" s="35" t="s">
        <v>211</v>
      </c>
    </row>
    <row r="15" ht="72.0" customHeight="1">
      <c r="A15" s="35" t="s">
        <v>148</v>
      </c>
      <c r="B15" s="35" t="s">
        <v>243</v>
      </c>
      <c r="C15" s="35" t="s">
        <v>225</v>
      </c>
      <c r="D15" s="35" t="s">
        <v>147</v>
      </c>
      <c r="E15" s="35" t="s">
        <v>244</v>
      </c>
      <c r="F15" s="35" t="s">
        <v>215</v>
      </c>
    </row>
    <row r="16" ht="72.0" customHeight="1">
      <c r="A16" s="35" t="s">
        <v>133</v>
      </c>
      <c r="B16" s="35" t="s">
        <v>245</v>
      </c>
      <c r="C16" s="35" t="s">
        <v>225</v>
      </c>
      <c r="D16" s="35" t="s">
        <v>132</v>
      </c>
      <c r="E16" s="35" t="s">
        <v>246</v>
      </c>
      <c r="F16" s="35" t="s">
        <v>215</v>
      </c>
    </row>
    <row r="17" ht="72.0" customHeight="1">
      <c r="A17" s="35" t="s">
        <v>187</v>
      </c>
      <c r="B17" s="35" t="s">
        <v>247</v>
      </c>
      <c r="C17" s="35" t="s">
        <v>225</v>
      </c>
      <c r="D17" s="35" t="s">
        <v>162</v>
      </c>
      <c r="E17" s="35" t="s">
        <v>248</v>
      </c>
      <c r="F17" s="35" t="s">
        <v>215</v>
      </c>
    </row>
    <row r="18" ht="72.0" customHeight="1">
      <c r="A18" s="35" t="s">
        <v>196</v>
      </c>
      <c r="B18" s="35" t="s">
        <v>249</v>
      </c>
      <c r="C18" s="35" t="s">
        <v>225</v>
      </c>
      <c r="D18" s="35" t="s">
        <v>195</v>
      </c>
      <c r="E18" s="35" t="s">
        <v>250</v>
      </c>
      <c r="F18" s="35" t="s">
        <v>211</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conditionalFormatting sqref="F2:F1000">
    <cfRule type="containsText" dxfId="11" priority="1" operator="containsText" text="High">
      <formula>NOT(ISERROR(SEARCH(("High"),(F2))))</formula>
    </cfRule>
  </conditionalFormatting>
  <conditionalFormatting sqref="F2:F1000">
    <cfRule type="containsText" dxfId="12" priority="2" operator="containsText" text="Medium">
      <formula>NOT(ISERROR(SEARCH(("Medium"),(F2))))</formula>
    </cfRule>
  </conditionalFormatting>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55.0"/>
    <col customWidth="1" min="2" max="2" width="95.0"/>
    <col customWidth="1" min="3" max="26" width="8.63"/>
  </cols>
  <sheetData>
    <row r="1" ht="27.75" customHeight="1">
      <c r="A1" s="34" t="s">
        <v>251</v>
      </c>
      <c r="B1" s="34" t="s">
        <v>252</v>
      </c>
    </row>
    <row r="2" ht="42.0" customHeight="1">
      <c r="A2" s="35" t="s">
        <v>141</v>
      </c>
      <c r="B2" s="35" t="s">
        <v>253</v>
      </c>
    </row>
    <row r="3" ht="42.0" customHeight="1">
      <c r="A3" s="35" t="s">
        <v>194</v>
      </c>
      <c r="B3" s="35" t="s">
        <v>254</v>
      </c>
    </row>
    <row r="4" ht="42.0" customHeight="1">
      <c r="A4" s="35" t="s">
        <v>168</v>
      </c>
      <c r="B4" s="35" t="s">
        <v>255</v>
      </c>
    </row>
    <row r="5" ht="42.0" customHeight="1">
      <c r="A5" s="35" t="s">
        <v>256</v>
      </c>
      <c r="B5" s="35" t="s">
        <v>257</v>
      </c>
    </row>
    <row r="6" ht="42.0" customHeight="1">
      <c r="A6" s="35" t="s">
        <v>160</v>
      </c>
      <c r="B6" s="35" t="s">
        <v>258</v>
      </c>
    </row>
    <row r="7" ht="42.0" customHeight="1">
      <c r="A7" s="35" t="s">
        <v>259</v>
      </c>
      <c r="B7" s="35" t="s">
        <v>260</v>
      </c>
    </row>
    <row r="8" ht="42.0" customHeight="1">
      <c r="A8" s="35" t="s">
        <v>106</v>
      </c>
      <c r="B8" s="35" t="s">
        <v>261</v>
      </c>
    </row>
    <row r="9" ht="42.0" customHeight="1">
      <c r="A9" s="35" t="s">
        <v>262</v>
      </c>
      <c r="B9" s="35" t="s">
        <v>263</v>
      </c>
    </row>
    <row r="10" ht="42.0" customHeight="1">
      <c r="A10" s="35" t="s">
        <v>264</v>
      </c>
      <c r="B10" s="35" t="s">
        <v>265</v>
      </c>
    </row>
    <row r="11" ht="42.0" customHeight="1">
      <c r="A11" s="35" t="s">
        <v>121</v>
      </c>
      <c r="B11" s="35" t="s">
        <v>266</v>
      </c>
    </row>
    <row r="12" ht="42.0" customHeight="1">
      <c r="A12" s="35" t="s">
        <v>267</v>
      </c>
      <c r="B12" s="35" t="s">
        <v>268</v>
      </c>
    </row>
    <row r="13" ht="42.0" customHeight="1">
      <c r="A13" s="35" t="s">
        <v>269</v>
      </c>
      <c r="B13" s="35" t="s">
        <v>270</v>
      </c>
    </row>
    <row r="14" ht="42.0" customHeight="1">
      <c r="A14" s="35" t="s">
        <v>271</v>
      </c>
      <c r="B14" s="35" t="s">
        <v>272</v>
      </c>
    </row>
    <row r="15" ht="42.0" customHeight="1">
      <c r="A15" s="35" t="s">
        <v>273</v>
      </c>
      <c r="B15" s="35" t="s">
        <v>274</v>
      </c>
    </row>
    <row r="16" ht="42.0" customHeight="1">
      <c r="A16" s="35" t="s">
        <v>275</v>
      </c>
      <c r="B16" s="35" t="s">
        <v>276</v>
      </c>
    </row>
    <row r="17" ht="42.0" customHeight="1">
      <c r="A17" s="35" t="s">
        <v>171</v>
      </c>
      <c r="B17" s="35" t="s">
        <v>277</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tableParts count="1">
    <tablePart r:id="rId3"/>
  </tableParts>
</worksheet>
</file>